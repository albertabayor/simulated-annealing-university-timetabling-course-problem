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apto\Downloads\"/>
    </mc:Choice>
  </mc:AlternateContent>
  <xr:revisionPtr revIDLastSave="0" documentId="8_{AF6DEBF0-4CB2-4A53-BE49-6567BBF63056}" xr6:coauthVersionLast="47" xr6:coauthVersionMax="47" xr10:uidLastSave="{00000000-0000-0000-0000-000000000000}"/>
  <bookViews>
    <workbookView xWindow="-108" yWindow="-108" windowWidth="23256" windowHeight="12456" activeTab="2" xr2:uid="{00000000-000D-0000-FFFF-FFFF00000000}"/>
  </bookViews>
  <sheets>
    <sheet name="Dosen" sheetId="1" r:id="rId1"/>
    <sheet name="Kelas" sheetId="2" r:id="rId2"/>
    <sheet name="Ruang" sheetId="3" r:id="rId3"/>
    <sheet name="Lesson" sheetId="7" r:id="rId4"/>
    <sheet name="Subjek (Matakuliah)" sheetId="4" r:id="rId5"/>
    <sheet name="ALL" sheetId="6" r:id="rId6"/>
    <sheet name=" Contoh lesson" sheetId="5" r:id="rId7"/>
  </sheets>
  <externalReferences>
    <externalReference r:id="rId8"/>
    <externalReference r:id="rId9"/>
  </externalReferences>
  <definedNames>
    <definedName name="_xlnm._FilterDatabase" localSheetId="6" hidden="1">' Contoh lesson'!$A$1:$G$516</definedName>
    <definedName name="_xlnm._FilterDatabase" localSheetId="0" hidden="1">Dosen!$A$1:$C$124</definedName>
    <definedName name="_xlnm._FilterDatabase" localSheetId="3" hidden="1">Lesson!$A$1:$H$389</definedName>
    <definedName name="_xlnm._FilterDatabase" localSheetId="4" hidden="1">'Subjek (Matakuliah)'!$A$1:$C$332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7" i="1" l="1"/>
  <c r="G389" i="7" l="1"/>
  <c r="G388" i="7"/>
  <c r="G387" i="7"/>
  <c r="G386" i="7"/>
  <c r="G385" i="7"/>
  <c r="G384" i="7"/>
  <c r="G383" i="7"/>
  <c r="G382" i="7"/>
  <c r="G381" i="7"/>
  <c r="G380" i="7"/>
  <c r="G379" i="7"/>
  <c r="G378" i="7"/>
  <c r="G377" i="7"/>
  <c r="G376" i="7"/>
  <c r="G375" i="7"/>
  <c r="G374" i="7"/>
  <c r="G373" i="7"/>
  <c r="G372" i="7"/>
  <c r="G371" i="7"/>
  <c r="G370" i="7"/>
  <c r="G369" i="7"/>
  <c r="G368" i="7"/>
  <c r="G367" i="7"/>
  <c r="G366" i="7"/>
  <c r="G365" i="7"/>
  <c r="G364" i="7"/>
  <c r="G363" i="7"/>
  <c r="G362" i="7"/>
  <c r="G361" i="7"/>
  <c r="G360" i="7"/>
  <c r="G358" i="7"/>
  <c r="G357" i="7"/>
  <c r="G356" i="7"/>
  <c r="G355" i="7"/>
  <c r="G354" i="7"/>
  <c r="G353" i="7"/>
  <c r="G352" i="7"/>
  <c r="G351" i="7"/>
  <c r="G350" i="7"/>
  <c r="G349" i="7"/>
  <c r="G348" i="7"/>
  <c r="G347" i="7"/>
  <c r="G346" i="7"/>
  <c r="G345" i="7"/>
  <c r="G344" i="7"/>
  <c r="G343" i="7"/>
  <c r="G342" i="7"/>
  <c r="G341" i="7"/>
  <c r="G340" i="7"/>
  <c r="G339" i="7"/>
  <c r="G338" i="7"/>
  <c r="G337" i="7"/>
  <c r="G336" i="7"/>
  <c r="G335" i="7"/>
  <c r="G334" i="7"/>
  <c r="G333" i="7"/>
  <c r="G332" i="7"/>
  <c r="G331" i="7"/>
  <c r="G330" i="7"/>
  <c r="G329" i="7"/>
  <c r="G328" i="7"/>
  <c r="G327" i="7"/>
  <c r="G326" i="7"/>
  <c r="G325" i="7"/>
  <c r="G324" i="7"/>
  <c r="G323" i="7"/>
  <c r="G322" i="7"/>
  <c r="G321" i="7"/>
  <c r="G320" i="7"/>
  <c r="G319" i="7"/>
  <c r="G318" i="7"/>
  <c r="G317" i="7"/>
  <c r="G316" i="7"/>
  <c r="G315" i="7"/>
  <c r="G314" i="7"/>
  <c r="G313" i="7"/>
  <c r="G312" i="7"/>
  <c r="G311" i="7"/>
  <c r="G310" i="7"/>
  <c r="G309" i="7"/>
  <c r="G308" i="7"/>
  <c r="G307" i="7"/>
  <c r="G306" i="7"/>
  <c r="G305" i="7"/>
  <c r="G304" i="7"/>
  <c r="G303" i="7"/>
  <c r="G302" i="7"/>
  <c r="G301" i="7"/>
  <c r="G300" i="7"/>
  <c r="G299" i="7"/>
  <c r="G298" i="7"/>
  <c r="G297" i="7"/>
  <c r="G296" i="7"/>
  <c r="G295" i="7"/>
  <c r="G294" i="7"/>
  <c r="G293" i="7"/>
  <c r="G292" i="7"/>
  <c r="G291" i="7"/>
  <c r="G290" i="7"/>
  <c r="G289" i="7"/>
  <c r="G288" i="7"/>
  <c r="G287" i="7"/>
  <c r="G286" i="7"/>
  <c r="G285" i="7"/>
  <c r="G284" i="7"/>
  <c r="G283" i="7"/>
  <c r="G282" i="7"/>
  <c r="G281" i="7"/>
  <c r="G280" i="7"/>
  <c r="G279" i="7"/>
  <c r="G278" i="7"/>
  <c r="G277" i="7"/>
  <c r="G276" i="7"/>
  <c r="G275" i="7"/>
  <c r="G274" i="7"/>
  <c r="G273" i="7"/>
  <c r="G272" i="7"/>
  <c r="G271" i="7"/>
  <c r="G270" i="7"/>
  <c r="G269" i="7"/>
  <c r="G268" i="7"/>
  <c r="G267" i="7"/>
  <c r="G266" i="7"/>
  <c r="G265" i="7"/>
  <c r="G264" i="7"/>
  <c r="G263" i="7"/>
  <c r="G262" i="7"/>
  <c r="G261" i="7"/>
  <c r="G260" i="7"/>
  <c r="G259" i="7"/>
  <c r="G258" i="7"/>
  <c r="G257" i="7"/>
  <c r="G256" i="7"/>
  <c r="G255" i="7"/>
  <c r="G254" i="7"/>
  <c r="G252" i="7"/>
  <c r="G251" i="7"/>
  <c r="G250" i="7"/>
  <c r="G249" i="7"/>
  <c r="G248" i="7"/>
  <c r="G246" i="7"/>
  <c r="G245" i="7"/>
  <c r="G244" i="7"/>
  <c r="G243" i="7"/>
  <c r="G242" i="7"/>
  <c r="G241" i="7"/>
  <c r="G239" i="7"/>
  <c r="G238" i="7"/>
  <c r="G237" i="7"/>
  <c r="G235" i="7"/>
  <c r="G234" i="7"/>
  <c r="G233" i="7"/>
  <c r="G232" i="7"/>
  <c r="G231" i="7"/>
  <c r="G230" i="7"/>
  <c r="G228" i="7"/>
  <c r="G227" i="7"/>
  <c r="G225" i="7"/>
  <c r="G224" i="7"/>
  <c r="G222" i="7"/>
  <c r="G221" i="7"/>
  <c r="G220" i="7"/>
  <c r="G219" i="7"/>
  <c r="G218" i="7"/>
  <c r="G216" i="7"/>
  <c r="G215" i="7"/>
  <c r="G212" i="7"/>
  <c r="G211" i="7"/>
  <c r="G210" i="7"/>
  <c r="G209" i="7"/>
  <c r="G206" i="7"/>
  <c r="G205" i="7"/>
  <c r="G203" i="7"/>
  <c r="G202" i="7"/>
  <c r="G201" i="7"/>
  <c r="G199" i="7"/>
  <c r="G198" i="7"/>
  <c r="G197" i="7"/>
  <c r="G196" i="7"/>
  <c r="G195" i="7"/>
  <c r="G194" i="7"/>
  <c r="G193" i="7"/>
  <c r="G192" i="7"/>
  <c r="G191" i="7"/>
  <c r="G190" i="7"/>
  <c r="G189" i="7"/>
  <c r="G188" i="7"/>
  <c r="G187" i="7"/>
  <c r="G185" i="7"/>
  <c r="G184" i="7"/>
  <c r="G183" i="7"/>
  <c r="G182" i="7"/>
  <c r="G181" i="7"/>
  <c r="G180" i="7"/>
  <c r="G179" i="7"/>
  <c r="G178" i="7"/>
  <c r="G177" i="7"/>
  <c r="G176" i="7"/>
  <c r="G175" i="7"/>
  <c r="G174" i="7"/>
  <c r="G173" i="7"/>
  <c r="G172" i="7"/>
  <c r="G171" i="7"/>
  <c r="G170" i="7"/>
  <c r="G169" i="7"/>
  <c r="G168"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7"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3" i="7"/>
  <c r="G92" i="7"/>
  <c r="G91" i="7"/>
  <c r="G90" i="7"/>
  <c r="G89" i="7"/>
  <c r="G88" i="7"/>
  <c r="G87" i="7"/>
  <c r="G86" i="7"/>
  <c r="G85" i="7"/>
  <c r="G84"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28" i="7"/>
  <c r="G27" i="7"/>
  <c r="G26" i="7"/>
  <c r="G25" i="7"/>
  <c r="G24" i="7"/>
  <c r="G23" i="7"/>
  <c r="G22" i="7"/>
  <c r="G21" i="7"/>
  <c r="G20" i="7"/>
  <c r="G19" i="7"/>
  <c r="G18" i="7"/>
  <c r="G17" i="7"/>
  <c r="G16" i="7"/>
  <c r="G15" i="7"/>
  <c r="G14" i="7"/>
  <c r="G13" i="7"/>
  <c r="G12" i="7"/>
  <c r="G11" i="7"/>
  <c r="G10" i="7"/>
  <c r="G9" i="7"/>
  <c r="G8" i="7"/>
  <c r="G7" i="7"/>
  <c r="G6" i="7"/>
  <c r="G5" i="7"/>
  <c r="G4" i="7"/>
  <c r="G3" i="7"/>
  <c r="G2" i="7"/>
  <c r="D413" i="6" l="1"/>
  <c r="C413" i="6"/>
  <c r="G409" i="6"/>
  <c r="G408" i="6"/>
  <c r="G407" i="6"/>
  <c r="G404" i="6"/>
  <c r="G403" i="6"/>
  <c r="G402" i="6"/>
  <c r="G401" i="6"/>
  <c r="G400" i="6"/>
  <c r="G399" i="6"/>
  <c r="G397" i="6"/>
  <c r="G396" i="6"/>
  <c r="G395" i="6"/>
  <c r="G394" i="6"/>
  <c r="G393" i="6"/>
  <c r="G392" i="6"/>
  <c r="G390" i="6"/>
  <c r="G389" i="6"/>
  <c r="G388" i="6"/>
  <c r="G387" i="6"/>
  <c r="G386" i="6"/>
  <c r="G382" i="6"/>
  <c r="G381" i="6"/>
  <c r="G380" i="6"/>
  <c r="G379" i="6"/>
  <c r="G378" i="6"/>
  <c r="G374" i="6"/>
  <c r="G373" i="6"/>
  <c r="G371" i="6"/>
  <c r="G370" i="6"/>
  <c r="G369" i="6"/>
  <c r="G366" i="6"/>
  <c r="G365" i="6"/>
  <c r="G364" i="6"/>
  <c r="G362" i="6"/>
  <c r="G361" i="6"/>
  <c r="G360" i="6"/>
  <c r="G359" i="6"/>
  <c r="G358" i="6"/>
  <c r="G357" i="6"/>
  <c r="G355" i="6"/>
  <c r="G354" i="6"/>
  <c r="G353" i="6"/>
  <c r="G352" i="6"/>
  <c r="G351" i="6"/>
  <c r="G348" i="6"/>
  <c r="G347" i="6"/>
  <c r="G346" i="6"/>
  <c r="G344" i="6"/>
  <c r="G343" i="6"/>
  <c r="G339" i="6"/>
  <c r="G338" i="6"/>
  <c r="G337" i="6"/>
  <c r="G336" i="6"/>
  <c r="G335" i="6"/>
  <c r="G334" i="6"/>
  <c r="G332" i="6"/>
  <c r="G331" i="6"/>
  <c r="G330" i="6"/>
  <c r="G329" i="6"/>
  <c r="G328" i="6"/>
  <c r="G326" i="6"/>
  <c r="G325" i="6"/>
  <c r="G324" i="6"/>
  <c r="G323" i="6"/>
  <c r="G322" i="6"/>
  <c r="G320" i="6"/>
  <c r="G319" i="6"/>
  <c r="G318" i="6"/>
  <c r="G317" i="6"/>
  <c r="G315" i="6"/>
  <c r="G312" i="6"/>
  <c r="G311" i="6"/>
  <c r="G310" i="6"/>
  <c r="G309" i="6"/>
  <c r="G308" i="6"/>
  <c r="G307" i="6"/>
  <c r="G305" i="6"/>
  <c r="G304" i="6"/>
  <c r="G303" i="6"/>
  <c r="G302" i="6"/>
  <c r="G301" i="6"/>
  <c r="G299" i="6"/>
  <c r="G298" i="6"/>
  <c r="G297" i="6"/>
  <c r="G296" i="6"/>
  <c r="G295" i="6"/>
  <c r="G293" i="6"/>
  <c r="G292" i="6"/>
  <c r="G291" i="6"/>
  <c r="G290" i="6"/>
  <c r="G289" i="6"/>
  <c r="G288" i="6"/>
  <c r="G285" i="6"/>
  <c r="G284" i="6"/>
  <c r="G283" i="6"/>
  <c r="G282" i="6"/>
  <c r="G281" i="6"/>
  <c r="G280" i="6"/>
  <c r="G279" i="6"/>
  <c r="G278" i="6"/>
  <c r="G277" i="6"/>
  <c r="G276" i="6"/>
  <c r="G275" i="6"/>
  <c r="G274" i="6"/>
  <c r="G272" i="6"/>
  <c r="G271" i="6"/>
  <c r="G270" i="6"/>
  <c r="G268" i="6"/>
  <c r="G266" i="6"/>
  <c r="G264" i="6"/>
  <c r="G263" i="6"/>
  <c r="G262" i="6"/>
  <c r="G261" i="6"/>
  <c r="G260" i="6"/>
  <c r="G259" i="6"/>
  <c r="G257" i="6"/>
  <c r="G255" i="6"/>
  <c r="G254" i="6"/>
  <c r="G253" i="6"/>
  <c r="G252" i="6"/>
  <c r="G251" i="6"/>
  <c r="G250" i="6"/>
  <c r="G248" i="6"/>
  <c r="G247" i="6"/>
  <c r="G246" i="6"/>
  <c r="G245" i="6"/>
  <c r="G243" i="6"/>
  <c r="G242" i="6"/>
  <c r="G241" i="6"/>
  <c r="G240" i="6"/>
  <c r="G239" i="6"/>
  <c r="G238" i="6"/>
  <c r="G237" i="6"/>
  <c r="G236" i="6"/>
  <c r="G235" i="6"/>
  <c r="G234" i="6"/>
  <c r="G233" i="6"/>
  <c r="G231" i="6"/>
  <c r="G230" i="6"/>
  <c r="G229" i="6"/>
  <c r="G227" i="6"/>
  <c r="G226" i="6"/>
  <c r="G225" i="6"/>
  <c r="G223" i="6"/>
  <c r="G222" i="6"/>
  <c r="G221" i="6"/>
  <c r="G219" i="6"/>
  <c r="G216" i="6"/>
  <c r="G215" i="6"/>
  <c r="G214" i="6"/>
  <c r="G213" i="6"/>
  <c r="G212" i="6"/>
  <c r="G211" i="6"/>
  <c r="G210" i="6"/>
  <c r="G209" i="6"/>
  <c r="G208" i="6"/>
  <c r="G207" i="6"/>
  <c r="G205" i="6"/>
  <c r="G204" i="6"/>
  <c r="G203" i="6"/>
  <c r="G202" i="6"/>
  <c r="G201" i="6"/>
  <c r="G200" i="6"/>
  <c r="G196" i="6"/>
  <c r="G192" i="6"/>
  <c r="G190" i="6"/>
  <c r="G189" i="6"/>
  <c r="G188" i="6"/>
  <c r="G187" i="6"/>
  <c r="G186" i="6"/>
  <c r="G185" i="6"/>
  <c r="G184" i="6"/>
  <c r="G183" i="6"/>
  <c r="G182" i="6"/>
  <c r="G181" i="6"/>
  <c r="G180" i="6"/>
  <c r="G179" i="6"/>
  <c r="G178" i="6"/>
  <c r="G177" i="6"/>
  <c r="G174" i="6"/>
  <c r="G173" i="6"/>
  <c r="G172" i="6"/>
  <c r="G171" i="6"/>
  <c r="G170" i="6"/>
  <c r="G168" i="6"/>
  <c r="G167" i="6"/>
  <c r="G166" i="6"/>
  <c r="G165" i="6"/>
  <c r="G164" i="6"/>
  <c r="G163" i="6"/>
  <c r="G162" i="6"/>
  <c r="G161" i="6"/>
  <c r="G160" i="6"/>
  <c r="G154" i="6"/>
  <c r="G153" i="6"/>
  <c r="G152" i="6"/>
  <c r="G151" i="6"/>
  <c r="G150" i="6"/>
  <c r="G149" i="6"/>
  <c r="G148" i="6"/>
  <c r="G146" i="6"/>
  <c r="G145" i="6"/>
  <c r="G144" i="6"/>
  <c r="G143" i="6"/>
  <c r="G142" i="6"/>
  <c r="G141" i="6"/>
  <c r="G140" i="6"/>
  <c r="G139" i="6"/>
  <c r="G138" i="6"/>
  <c r="G137" i="6"/>
  <c r="G134" i="6"/>
  <c r="G133" i="6"/>
  <c r="G130" i="6"/>
  <c r="G129" i="6"/>
  <c r="G128" i="6"/>
  <c r="G127" i="6"/>
  <c r="G126" i="6"/>
  <c r="G125" i="6"/>
  <c r="G122" i="6"/>
  <c r="G121" i="6"/>
  <c r="G118" i="6"/>
  <c r="G113" i="6"/>
  <c r="G110" i="6"/>
  <c r="G109" i="6"/>
  <c r="G108" i="6"/>
  <c r="G107" i="6"/>
  <c r="G105" i="6"/>
  <c r="G104" i="6"/>
  <c r="G103" i="6"/>
  <c r="G102" i="6"/>
  <c r="G101" i="6"/>
  <c r="G100" i="6"/>
  <c r="G97" i="6"/>
  <c r="G96" i="6"/>
  <c r="G93" i="6"/>
  <c r="G88" i="6"/>
  <c r="G85" i="6"/>
  <c r="G84" i="6"/>
  <c r="G83" i="6"/>
  <c r="G82" i="6"/>
  <c r="G81" i="6"/>
  <c r="G80" i="6"/>
  <c r="G70" i="6"/>
  <c r="G69" i="6"/>
  <c r="G68" i="6"/>
  <c r="G67" i="6"/>
  <c r="G66" i="6"/>
  <c r="G65" i="6"/>
  <c r="G64" i="6"/>
  <c r="G63" i="6"/>
  <c r="G62" i="6"/>
  <c r="G61" i="6"/>
  <c r="G60" i="6"/>
  <c r="G59" i="6"/>
  <c r="G58" i="6"/>
  <c r="G57" i="6"/>
  <c r="G56" i="6"/>
  <c r="G55" i="6"/>
  <c r="G53" i="6"/>
  <c r="G52" i="6"/>
  <c r="G51" i="6"/>
  <c r="G50" i="6"/>
  <c r="G49" i="6"/>
  <c r="G48" i="6"/>
  <c r="G47" i="6"/>
  <c r="G46" i="6"/>
  <c r="G45" i="6"/>
  <c r="G44" i="6"/>
  <c r="G43" i="6"/>
  <c r="G42" i="6"/>
  <c r="G41" i="6"/>
  <c r="G40" i="6"/>
  <c r="G39" i="6"/>
  <c r="G38" i="6"/>
  <c r="G37" i="6"/>
  <c r="G36" i="6"/>
  <c r="G28" i="6"/>
  <c r="G27" i="6"/>
  <c r="G26" i="6"/>
  <c r="G25" i="6"/>
  <c r="G24" i="6"/>
  <c r="G23" i="6"/>
  <c r="G22" i="6"/>
  <c r="G21" i="6"/>
  <c r="G20" i="6"/>
  <c r="G19" i="6"/>
  <c r="G18" i="6"/>
  <c r="G17" i="6"/>
  <c r="G13" i="6"/>
  <c r="G12" i="6"/>
  <c r="G11" i="6"/>
  <c r="G10" i="6"/>
  <c r="G9" i="6"/>
  <c r="G8" i="6"/>
  <c r="G7" i="6"/>
  <c r="G6" i="6"/>
  <c r="G5" i="6"/>
  <c r="G4" i="6"/>
  <c r="G3" i="6"/>
  <c r="G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renny</author>
  </authors>
  <commentList>
    <comment ref="D307" authorId="0" shapeId="0" xr:uid="{00000000-0006-0000-0300-000001000000}">
      <text>
        <r>
          <rPr>
            <b/>
            <sz val="9"/>
            <rFont val="Tahoma"/>
            <family val="2"/>
          </rPr>
          <t>renny:</t>
        </r>
        <r>
          <rPr>
            <sz val="9"/>
            <rFont val="Tahoma"/>
            <family val="2"/>
          </rPr>
          <t xml:space="preserve">
Kalkulus, Matdis Sem1</t>
        </r>
      </text>
    </comment>
    <comment ref="D308" authorId="0" shapeId="0" xr:uid="{00000000-0006-0000-0300-000002000000}">
      <text>
        <r>
          <rPr>
            <b/>
            <sz val="9"/>
            <rFont val="Tahoma"/>
            <family val="2"/>
          </rPr>
          <t>renny:</t>
        </r>
        <r>
          <rPr>
            <sz val="9"/>
            <rFont val="Tahoma"/>
            <family val="2"/>
          </rPr>
          <t xml:space="preserve">
Ambil Dasar2 PL Sem2</t>
        </r>
      </text>
    </comment>
    <comment ref="D310" authorId="0" shapeId="0" xr:uid="{00000000-0006-0000-0300-000003000000}">
      <text>
        <r>
          <rPr>
            <b/>
            <sz val="9"/>
            <rFont val="Tahoma"/>
            <family val="2"/>
          </rPr>
          <t>renny:</t>
        </r>
        <r>
          <rPr>
            <sz val="9"/>
            <rFont val="Tahoma"/>
            <family val="2"/>
          </rPr>
          <t xml:space="preserve">
Ambil DMJK</t>
        </r>
      </text>
    </comment>
    <comment ref="D311" authorId="0" shapeId="0" xr:uid="{00000000-0006-0000-0300-000004000000}">
      <text>
        <r>
          <rPr>
            <b/>
            <sz val="9"/>
            <rFont val="Tahoma"/>
            <family val="2"/>
          </rPr>
          <t>renny:</t>
        </r>
        <r>
          <rPr>
            <sz val="9"/>
            <rFont val="Tahoma"/>
            <family val="2"/>
          </rPr>
          <t xml:space="preserve">
LULUS Pemrograman Terstruktur Sem1</t>
        </r>
      </text>
    </comment>
    <comment ref="D313" authorId="0" shapeId="0" xr:uid="{00000000-0006-0000-0300-000005000000}">
      <text>
        <r>
          <rPr>
            <b/>
            <sz val="9"/>
            <rFont val="Tahoma"/>
            <family val="2"/>
          </rPr>
          <t>renny:</t>
        </r>
        <r>
          <rPr>
            <sz val="9"/>
            <rFont val="Tahoma"/>
            <family val="2"/>
          </rPr>
          <t xml:space="preserve">
LULUS Alpro</t>
        </r>
      </text>
    </comment>
    <comment ref="D315" authorId="0" shapeId="0" xr:uid="{00000000-0006-0000-0300-000006000000}">
      <text>
        <r>
          <rPr>
            <b/>
            <sz val="9"/>
            <rFont val="Tahoma"/>
            <family val="2"/>
          </rPr>
          <t>renny:</t>
        </r>
        <r>
          <rPr>
            <sz val="9"/>
            <rFont val="Tahoma"/>
            <family val="2"/>
          </rPr>
          <t xml:space="preserve">
LULUS APB
Ambil MProd</t>
        </r>
      </text>
    </comment>
    <comment ref="D317" authorId="0" shapeId="0" xr:uid="{00000000-0006-0000-0300-000007000000}">
      <text>
        <r>
          <rPr>
            <b/>
            <sz val="9"/>
            <rFont val="Tahoma"/>
            <family val="2"/>
          </rPr>
          <t>renny:</t>
        </r>
        <r>
          <rPr>
            <sz val="9"/>
            <rFont val="Tahoma"/>
            <family val="2"/>
          </rPr>
          <t xml:space="preserve">
Ambil PIPL, MOSDM</t>
        </r>
      </text>
    </comment>
    <comment ref="D319" authorId="0" shapeId="0" xr:uid="{00000000-0006-0000-0300-000008000000}">
      <text>
        <r>
          <rPr>
            <b/>
            <sz val="9"/>
            <rFont val="Tahoma"/>
            <family val="2"/>
          </rPr>
          <t>renny:</t>
        </r>
        <r>
          <rPr>
            <sz val="9"/>
            <rFont val="Tahoma"/>
            <family val="2"/>
          </rPr>
          <t xml:space="preserve">
Ambil MOSDM, MPTI</t>
        </r>
      </text>
    </comment>
    <comment ref="D320" authorId="0" shapeId="0" xr:uid="{00000000-0006-0000-0300-000009000000}">
      <text>
        <r>
          <rPr>
            <b/>
            <sz val="9"/>
            <rFont val="Tahoma"/>
            <family val="2"/>
          </rPr>
          <t>renny:</t>
        </r>
        <r>
          <rPr>
            <sz val="9"/>
            <rFont val="Tahoma"/>
            <family val="2"/>
          </rPr>
          <t xml:space="preserve">
Ambil Tatakelola,
MLTI</t>
        </r>
      </text>
    </comment>
    <comment ref="D321" authorId="0" shapeId="0" xr:uid="{00000000-0006-0000-0300-00000A000000}">
      <text>
        <r>
          <rPr>
            <b/>
            <sz val="9"/>
            <rFont val="Tahoma"/>
            <family val="2"/>
          </rPr>
          <t>renny:</t>
        </r>
        <r>
          <rPr>
            <sz val="9"/>
            <rFont val="Tahoma"/>
            <family val="2"/>
          </rPr>
          <t xml:space="preserve">
LULUS Tatakelola
Ambil Audit</t>
        </r>
      </text>
    </comment>
    <comment ref="D322" authorId="0" shapeId="0" xr:uid="{00000000-0006-0000-0300-00000B000000}">
      <text>
        <r>
          <rPr>
            <b/>
            <sz val="9"/>
            <rFont val="Tahoma"/>
            <family val="2"/>
          </rPr>
          <t>renny:</t>
        </r>
        <r>
          <rPr>
            <sz val="9"/>
            <rFont val="Tahoma"/>
            <family val="2"/>
          </rPr>
          <t xml:space="preserve">
LULUS MPTI
Ambil Manrisk</t>
        </r>
      </text>
    </comment>
    <comment ref="D325" authorId="0" shapeId="0" xr:uid="{00000000-0006-0000-0300-00000C000000}">
      <text>
        <r>
          <rPr>
            <b/>
            <sz val="9"/>
            <rFont val="Tahoma"/>
            <family val="2"/>
          </rPr>
          <t>renny:</t>
        </r>
        <r>
          <rPr>
            <sz val="9"/>
            <rFont val="Tahoma"/>
            <family val="2"/>
          </rPr>
          <t xml:space="preserve">
LULUS Alpro</t>
        </r>
      </text>
    </comment>
    <comment ref="D327" authorId="0" shapeId="0" xr:uid="{00000000-0006-0000-0300-00000D000000}">
      <text>
        <r>
          <rPr>
            <b/>
            <sz val="9"/>
            <rFont val="Tahoma"/>
            <family val="2"/>
          </rPr>
          <t>renny:</t>
        </r>
        <r>
          <rPr>
            <sz val="9"/>
            <rFont val="Tahoma"/>
            <family val="2"/>
          </rPr>
          <t xml:space="preserve">
Ambil MOSDM, MPTI</t>
        </r>
      </text>
    </comment>
    <comment ref="D328" authorId="0" shapeId="0" xr:uid="{00000000-0006-0000-0300-00000E000000}">
      <text>
        <r>
          <rPr>
            <b/>
            <sz val="9"/>
            <rFont val="Tahoma"/>
            <family val="2"/>
          </rPr>
          <t>renny:</t>
        </r>
        <r>
          <rPr>
            <sz val="9"/>
            <rFont val="Tahoma"/>
            <family val="2"/>
          </rPr>
          <t xml:space="preserve">
LULUS Tatakelola
Ambil Audit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renny</author>
  </authors>
  <commentList>
    <comment ref="B307" authorId="0" shapeId="0" xr:uid="{00000000-0006-0000-0400-000001000000}">
      <text>
        <r>
          <rPr>
            <b/>
            <sz val="9"/>
            <rFont val="Tahoma"/>
            <family val="2"/>
          </rPr>
          <t>renny:</t>
        </r>
        <r>
          <rPr>
            <sz val="9"/>
            <rFont val="Tahoma"/>
            <family val="2"/>
          </rPr>
          <t xml:space="preserve">
Kalkulus, Matdis Sem1</t>
        </r>
      </text>
    </comment>
    <comment ref="B308" authorId="0" shapeId="0" xr:uid="{00000000-0006-0000-0400-000002000000}">
      <text>
        <r>
          <rPr>
            <b/>
            <sz val="9"/>
            <rFont val="Tahoma"/>
            <family val="2"/>
          </rPr>
          <t>renny:</t>
        </r>
        <r>
          <rPr>
            <sz val="9"/>
            <rFont val="Tahoma"/>
            <family val="2"/>
          </rPr>
          <t xml:space="preserve">
Ambil Dasar2 PL Sem2</t>
        </r>
      </text>
    </comment>
    <comment ref="B310" authorId="0" shapeId="0" xr:uid="{00000000-0006-0000-0400-000003000000}">
      <text>
        <r>
          <rPr>
            <b/>
            <sz val="9"/>
            <rFont val="Tahoma"/>
            <family val="2"/>
          </rPr>
          <t>renny:</t>
        </r>
        <r>
          <rPr>
            <sz val="9"/>
            <rFont val="Tahoma"/>
            <family val="2"/>
          </rPr>
          <t xml:space="preserve">
Ambil DMJK</t>
        </r>
      </text>
    </comment>
    <comment ref="B311" authorId="0" shapeId="0" xr:uid="{00000000-0006-0000-0400-000004000000}">
      <text>
        <r>
          <rPr>
            <b/>
            <sz val="9"/>
            <rFont val="Tahoma"/>
            <family val="2"/>
          </rPr>
          <t>renny:</t>
        </r>
        <r>
          <rPr>
            <sz val="9"/>
            <rFont val="Tahoma"/>
            <family val="2"/>
          </rPr>
          <t xml:space="preserve">
LULUS Pemrograman Terstruktur Sem1</t>
        </r>
      </text>
    </comment>
    <comment ref="B313" authorId="0" shapeId="0" xr:uid="{00000000-0006-0000-0400-000005000000}">
      <text>
        <r>
          <rPr>
            <b/>
            <sz val="9"/>
            <rFont val="Tahoma"/>
            <family val="2"/>
          </rPr>
          <t>renny:</t>
        </r>
        <r>
          <rPr>
            <sz val="9"/>
            <rFont val="Tahoma"/>
            <family val="2"/>
          </rPr>
          <t xml:space="preserve">
LULUS Alpro</t>
        </r>
      </text>
    </comment>
    <comment ref="B315" authorId="0" shapeId="0" xr:uid="{00000000-0006-0000-0400-000006000000}">
      <text>
        <r>
          <rPr>
            <b/>
            <sz val="9"/>
            <rFont val="Tahoma"/>
            <family val="2"/>
          </rPr>
          <t>renny:</t>
        </r>
        <r>
          <rPr>
            <sz val="9"/>
            <rFont val="Tahoma"/>
            <family val="2"/>
          </rPr>
          <t xml:space="preserve">
LULUS APB
Ambil MProd</t>
        </r>
      </text>
    </comment>
    <comment ref="B317" authorId="0" shapeId="0" xr:uid="{00000000-0006-0000-0400-000007000000}">
      <text>
        <r>
          <rPr>
            <b/>
            <sz val="9"/>
            <rFont val="Tahoma"/>
            <family val="2"/>
          </rPr>
          <t>renny:</t>
        </r>
        <r>
          <rPr>
            <sz val="9"/>
            <rFont val="Tahoma"/>
            <family val="2"/>
          </rPr>
          <t xml:space="preserve">
Ambil PIPL, MOSDM</t>
        </r>
      </text>
    </comment>
    <comment ref="B319" authorId="0" shapeId="0" xr:uid="{00000000-0006-0000-0400-000008000000}">
      <text>
        <r>
          <rPr>
            <b/>
            <sz val="9"/>
            <rFont val="Tahoma"/>
            <family val="2"/>
          </rPr>
          <t>renny:</t>
        </r>
        <r>
          <rPr>
            <sz val="9"/>
            <rFont val="Tahoma"/>
            <family val="2"/>
          </rPr>
          <t xml:space="preserve">
Ambil MOSDM, MPTI</t>
        </r>
      </text>
    </comment>
    <comment ref="B320" authorId="0" shapeId="0" xr:uid="{00000000-0006-0000-0400-000009000000}">
      <text>
        <r>
          <rPr>
            <b/>
            <sz val="9"/>
            <rFont val="Tahoma"/>
            <family val="2"/>
          </rPr>
          <t>renny:</t>
        </r>
        <r>
          <rPr>
            <sz val="9"/>
            <rFont val="Tahoma"/>
            <family val="2"/>
          </rPr>
          <t xml:space="preserve">
Ambil Tatakelola,
MLTI</t>
        </r>
      </text>
    </comment>
    <comment ref="B321" authorId="0" shapeId="0" xr:uid="{00000000-0006-0000-0400-00000A000000}">
      <text>
        <r>
          <rPr>
            <b/>
            <sz val="9"/>
            <rFont val="Tahoma"/>
            <family val="2"/>
          </rPr>
          <t>renny:</t>
        </r>
        <r>
          <rPr>
            <sz val="9"/>
            <rFont val="Tahoma"/>
            <family val="2"/>
          </rPr>
          <t xml:space="preserve">
LULUS Tatakelola
Ambil Audit</t>
        </r>
      </text>
    </comment>
    <comment ref="B322" authorId="0" shapeId="0" xr:uid="{00000000-0006-0000-0400-00000B000000}">
      <text>
        <r>
          <rPr>
            <b/>
            <sz val="9"/>
            <rFont val="Tahoma"/>
            <family val="2"/>
          </rPr>
          <t>renny:</t>
        </r>
        <r>
          <rPr>
            <sz val="9"/>
            <rFont val="Tahoma"/>
            <family val="2"/>
          </rPr>
          <t xml:space="preserve">
LULUS MPTI
Ambil Manrisk</t>
        </r>
      </text>
    </comment>
    <comment ref="B325" authorId="0" shapeId="0" xr:uid="{00000000-0006-0000-0400-00000C000000}">
      <text>
        <r>
          <rPr>
            <b/>
            <sz val="9"/>
            <rFont val="Tahoma"/>
            <family val="2"/>
          </rPr>
          <t>renny:</t>
        </r>
        <r>
          <rPr>
            <sz val="9"/>
            <rFont val="Tahoma"/>
            <family val="2"/>
          </rPr>
          <t xml:space="preserve">
LULUS Alpro</t>
        </r>
      </text>
    </comment>
    <comment ref="B327" authorId="0" shapeId="0" xr:uid="{00000000-0006-0000-0400-00000D000000}">
      <text>
        <r>
          <rPr>
            <b/>
            <sz val="9"/>
            <rFont val="Tahoma"/>
            <family val="2"/>
          </rPr>
          <t>renny:</t>
        </r>
        <r>
          <rPr>
            <sz val="9"/>
            <rFont val="Tahoma"/>
            <family val="2"/>
          </rPr>
          <t xml:space="preserve">
Ambil MOSDM, MPTI</t>
        </r>
      </text>
    </comment>
    <comment ref="B328" authorId="0" shapeId="0" xr:uid="{00000000-0006-0000-0400-00000E000000}">
      <text>
        <r>
          <rPr>
            <b/>
            <sz val="9"/>
            <rFont val="Tahoma"/>
            <family val="2"/>
          </rPr>
          <t>renny:</t>
        </r>
        <r>
          <rPr>
            <sz val="9"/>
            <rFont val="Tahoma"/>
            <family val="2"/>
          </rPr>
          <t xml:space="preserve">
LULUS Tatakelola
Ambil Audit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renny</author>
  </authors>
  <commentList>
    <comment ref="D351" authorId="0" shapeId="0" xr:uid="{00000000-0006-0000-0500-000001000000}">
      <text>
        <r>
          <rPr>
            <b/>
            <sz val="9"/>
            <rFont val="Tahoma"/>
            <family val="2"/>
          </rPr>
          <t>renny:</t>
        </r>
        <r>
          <rPr>
            <sz val="9"/>
            <rFont val="Tahoma"/>
            <family val="2"/>
          </rPr>
          <t xml:space="preserve">
Kalkulus, Matdis Sem1</t>
        </r>
      </text>
    </comment>
    <comment ref="D352" authorId="0" shapeId="0" xr:uid="{00000000-0006-0000-0500-000002000000}">
      <text>
        <r>
          <rPr>
            <b/>
            <sz val="9"/>
            <rFont val="Tahoma"/>
            <family val="2"/>
          </rPr>
          <t>renny:</t>
        </r>
        <r>
          <rPr>
            <sz val="9"/>
            <rFont val="Tahoma"/>
            <family val="2"/>
          </rPr>
          <t xml:space="preserve">
Ambil Dasar2 PL Sem2</t>
        </r>
      </text>
    </comment>
    <comment ref="D354" authorId="0" shapeId="0" xr:uid="{00000000-0006-0000-0500-000003000000}">
      <text>
        <r>
          <rPr>
            <b/>
            <sz val="9"/>
            <rFont val="Tahoma"/>
            <family val="2"/>
          </rPr>
          <t>renny:</t>
        </r>
        <r>
          <rPr>
            <sz val="9"/>
            <rFont val="Tahoma"/>
            <family val="2"/>
          </rPr>
          <t xml:space="preserve">
Ambil DMJK</t>
        </r>
      </text>
    </comment>
    <comment ref="D355" authorId="0" shapeId="0" xr:uid="{00000000-0006-0000-0500-000004000000}">
      <text>
        <r>
          <rPr>
            <b/>
            <sz val="9"/>
            <rFont val="Tahoma"/>
            <family val="2"/>
          </rPr>
          <t>renny:</t>
        </r>
        <r>
          <rPr>
            <sz val="9"/>
            <rFont val="Tahoma"/>
            <family val="2"/>
          </rPr>
          <t xml:space="preserve">
LULUS Pemrograman Terstruktur Sem1</t>
        </r>
      </text>
    </comment>
    <comment ref="D358" authorId="0" shapeId="0" xr:uid="{00000000-0006-0000-0500-000005000000}">
      <text>
        <r>
          <rPr>
            <b/>
            <sz val="9"/>
            <rFont val="Tahoma"/>
            <family val="2"/>
          </rPr>
          <t>renny:</t>
        </r>
        <r>
          <rPr>
            <sz val="9"/>
            <rFont val="Tahoma"/>
            <family val="2"/>
          </rPr>
          <t xml:space="preserve">
LULUS Alpro</t>
        </r>
      </text>
    </comment>
    <comment ref="D360" authorId="0" shapeId="0" xr:uid="{00000000-0006-0000-0500-000006000000}">
      <text>
        <r>
          <rPr>
            <b/>
            <sz val="9"/>
            <rFont val="Tahoma"/>
            <family val="2"/>
          </rPr>
          <t>renny:</t>
        </r>
        <r>
          <rPr>
            <sz val="9"/>
            <rFont val="Tahoma"/>
            <family val="2"/>
          </rPr>
          <t xml:space="preserve">
LULUS APB
Ambil MProd</t>
        </r>
      </text>
    </comment>
    <comment ref="D362" authorId="0" shapeId="0" xr:uid="{00000000-0006-0000-0500-000007000000}">
      <text>
        <r>
          <rPr>
            <b/>
            <sz val="9"/>
            <rFont val="Tahoma"/>
            <family val="2"/>
          </rPr>
          <t>renny:</t>
        </r>
        <r>
          <rPr>
            <sz val="9"/>
            <rFont val="Tahoma"/>
            <family val="2"/>
          </rPr>
          <t xml:space="preserve">
Ambil PIPL, MOSDM</t>
        </r>
      </text>
    </comment>
    <comment ref="D365" authorId="0" shapeId="0" xr:uid="{00000000-0006-0000-0500-000008000000}">
      <text>
        <r>
          <rPr>
            <b/>
            <sz val="9"/>
            <rFont val="Tahoma"/>
            <family val="2"/>
          </rPr>
          <t>renny:</t>
        </r>
        <r>
          <rPr>
            <sz val="9"/>
            <rFont val="Tahoma"/>
            <family val="2"/>
          </rPr>
          <t xml:space="preserve">
Ambil MOSDM, MPTI</t>
        </r>
      </text>
    </comment>
    <comment ref="D366" authorId="0" shapeId="0" xr:uid="{00000000-0006-0000-0500-000009000000}">
      <text>
        <r>
          <rPr>
            <b/>
            <sz val="9"/>
            <rFont val="Tahoma"/>
            <family val="2"/>
          </rPr>
          <t>renny:</t>
        </r>
        <r>
          <rPr>
            <sz val="9"/>
            <rFont val="Tahoma"/>
            <family val="2"/>
          </rPr>
          <t xml:space="preserve">
Ambil Tatakelola,
MLTI</t>
        </r>
      </text>
    </comment>
    <comment ref="D367" authorId="0" shapeId="0" xr:uid="{00000000-0006-0000-0500-00000A000000}">
      <text>
        <r>
          <rPr>
            <b/>
            <sz val="9"/>
            <rFont val="Tahoma"/>
            <family val="2"/>
          </rPr>
          <t>renny:</t>
        </r>
        <r>
          <rPr>
            <sz val="9"/>
            <rFont val="Tahoma"/>
            <family val="2"/>
          </rPr>
          <t xml:space="preserve">
LULUS Tatakelola
Ambil Audit</t>
        </r>
      </text>
    </comment>
    <comment ref="D368" authorId="0" shapeId="0" xr:uid="{00000000-0006-0000-0500-00000B000000}">
      <text>
        <r>
          <rPr>
            <b/>
            <sz val="9"/>
            <rFont val="Tahoma"/>
            <family val="2"/>
          </rPr>
          <t>renny:</t>
        </r>
        <r>
          <rPr>
            <sz val="9"/>
            <rFont val="Tahoma"/>
            <family val="2"/>
          </rPr>
          <t xml:space="preserve">
LULUS MPTI
Ambil Manrisk</t>
        </r>
      </text>
    </comment>
    <comment ref="D371" authorId="0" shapeId="0" xr:uid="{00000000-0006-0000-0500-00000C000000}">
      <text>
        <r>
          <rPr>
            <b/>
            <sz val="9"/>
            <rFont val="Tahoma"/>
            <family val="2"/>
          </rPr>
          <t>renny:</t>
        </r>
        <r>
          <rPr>
            <sz val="9"/>
            <rFont val="Tahoma"/>
            <family val="2"/>
          </rPr>
          <t xml:space="preserve">
LULUS Alpro</t>
        </r>
      </text>
    </comment>
    <comment ref="D374" authorId="0" shapeId="0" xr:uid="{00000000-0006-0000-0500-00000D000000}">
      <text>
        <r>
          <rPr>
            <b/>
            <sz val="9"/>
            <rFont val="Tahoma"/>
            <family val="2"/>
          </rPr>
          <t>renny:</t>
        </r>
        <r>
          <rPr>
            <sz val="9"/>
            <rFont val="Tahoma"/>
            <family val="2"/>
          </rPr>
          <t xml:space="preserve">
Ambil MOSDM, MPTI</t>
        </r>
      </text>
    </comment>
    <comment ref="D375" authorId="0" shapeId="0" xr:uid="{00000000-0006-0000-0500-00000E000000}">
      <text>
        <r>
          <rPr>
            <b/>
            <sz val="9"/>
            <rFont val="Tahoma"/>
            <family val="2"/>
          </rPr>
          <t>renny:</t>
        </r>
        <r>
          <rPr>
            <sz val="9"/>
            <rFont val="Tahoma"/>
            <family val="2"/>
          </rPr>
          <t xml:space="preserve">
LULUS Tatakelola
Ambil Audit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renny</author>
  </authors>
  <commentList>
    <comment ref="C351" authorId="0" shapeId="0" xr:uid="{00000000-0006-0000-0600-000001000000}">
      <text>
        <r>
          <rPr>
            <b/>
            <sz val="9"/>
            <rFont val="Tahoma"/>
            <family val="2"/>
          </rPr>
          <t>renny:</t>
        </r>
        <r>
          <rPr>
            <sz val="9"/>
            <rFont val="Tahoma"/>
            <family val="2"/>
          </rPr>
          <t xml:space="preserve">
Kalkulus, Matdis Sem1</t>
        </r>
      </text>
    </comment>
    <comment ref="C352" authorId="0" shapeId="0" xr:uid="{00000000-0006-0000-0600-000002000000}">
      <text>
        <r>
          <rPr>
            <b/>
            <sz val="9"/>
            <rFont val="Tahoma"/>
            <family val="2"/>
          </rPr>
          <t>renny:</t>
        </r>
        <r>
          <rPr>
            <sz val="9"/>
            <rFont val="Tahoma"/>
            <family val="2"/>
          </rPr>
          <t xml:space="preserve">
Ambil Dasar2 PL Sem2</t>
        </r>
      </text>
    </comment>
    <comment ref="C354" authorId="0" shapeId="0" xr:uid="{00000000-0006-0000-0600-000003000000}">
      <text>
        <r>
          <rPr>
            <b/>
            <sz val="9"/>
            <rFont val="Tahoma"/>
            <family val="2"/>
          </rPr>
          <t>renny:</t>
        </r>
        <r>
          <rPr>
            <sz val="9"/>
            <rFont val="Tahoma"/>
            <family val="2"/>
          </rPr>
          <t xml:space="preserve">
Ambil DMJK</t>
        </r>
      </text>
    </comment>
    <comment ref="C355" authorId="0" shapeId="0" xr:uid="{00000000-0006-0000-0600-000004000000}">
      <text>
        <r>
          <rPr>
            <b/>
            <sz val="9"/>
            <rFont val="Tahoma"/>
            <family val="2"/>
          </rPr>
          <t>renny:</t>
        </r>
        <r>
          <rPr>
            <sz val="9"/>
            <rFont val="Tahoma"/>
            <family val="2"/>
          </rPr>
          <t xml:space="preserve">
LULUS Pemrograman Terstruktur Sem1</t>
        </r>
      </text>
    </comment>
    <comment ref="C358" authorId="0" shapeId="0" xr:uid="{00000000-0006-0000-0600-000005000000}">
      <text>
        <r>
          <rPr>
            <b/>
            <sz val="9"/>
            <rFont val="Tahoma"/>
            <family val="2"/>
          </rPr>
          <t>renny:</t>
        </r>
        <r>
          <rPr>
            <sz val="9"/>
            <rFont val="Tahoma"/>
            <family val="2"/>
          </rPr>
          <t xml:space="preserve">
LULUS Alpro</t>
        </r>
      </text>
    </comment>
    <comment ref="C360" authorId="0" shapeId="0" xr:uid="{00000000-0006-0000-0600-000006000000}">
      <text>
        <r>
          <rPr>
            <b/>
            <sz val="9"/>
            <rFont val="Tahoma"/>
            <family val="2"/>
          </rPr>
          <t>renny:</t>
        </r>
        <r>
          <rPr>
            <sz val="9"/>
            <rFont val="Tahoma"/>
            <family val="2"/>
          </rPr>
          <t xml:space="preserve">
LULUS APB
Ambil MProd</t>
        </r>
      </text>
    </comment>
    <comment ref="C362" authorId="0" shapeId="0" xr:uid="{00000000-0006-0000-0600-000007000000}">
      <text>
        <r>
          <rPr>
            <b/>
            <sz val="9"/>
            <rFont val="Tahoma"/>
            <family val="2"/>
          </rPr>
          <t>renny:</t>
        </r>
        <r>
          <rPr>
            <sz val="9"/>
            <rFont val="Tahoma"/>
            <family val="2"/>
          </rPr>
          <t xml:space="preserve">
Ambil PIPL, MOSDM</t>
        </r>
      </text>
    </comment>
    <comment ref="C365" authorId="0" shapeId="0" xr:uid="{00000000-0006-0000-0600-000008000000}">
      <text>
        <r>
          <rPr>
            <b/>
            <sz val="9"/>
            <rFont val="Tahoma"/>
            <family val="2"/>
          </rPr>
          <t>renny:</t>
        </r>
        <r>
          <rPr>
            <sz val="9"/>
            <rFont val="Tahoma"/>
            <family val="2"/>
          </rPr>
          <t xml:space="preserve">
Ambil MOSDM, MPTI</t>
        </r>
      </text>
    </comment>
    <comment ref="C366" authorId="0" shapeId="0" xr:uid="{00000000-0006-0000-0600-000009000000}">
      <text>
        <r>
          <rPr>
            <b/>
            <sz val="9"/>
            <rFont val="Tahoma"/>
            <family val="2"/>
          </rPr>
          <t>renny:</t>
        </r>
        <r>
          <rPr>
            <sz val="9"/>
            <rFont val="Tahoma"/>
            <family val="2"/>
          </rPr>
          <t xml:space="preserve">
Ambil Tatakelola,
MLTI</t>
        </r>
      </text>
    </comment>
    <comment ref="C367" authorId="0" shapeId="0" xr:uid="{00000000-0006-0000-0600-00000A000000}">
      <text>
        <r>
          <rPr>
            <b/>
            <sz val="9"/>
            <rFont val="Tahoma"/>
            <family val="2"/>
          </rPr>
          <t>renny:</t>
        </r>
        <r>
          <rPr>
            <sz val="9"/>
            <rFont val="Tahoma"/>
            <family val="2"/>
          </rPr>
          <t xml:space="preserve">
LULUS Tatakelola
Ambil Audit</t>
        </r>
      </text>
    </comment>
    <comment ref="C368" authorId="0" shapeId="0" xr:uid="{00000000-0006-0000-0600-00000B000000}">
      <text>
        <r>
          <rPr>
            <b/>
            <sz val="9"/>
            <rFont val="Tahoma"/>
            <family val="2"/>
          </rPr>
          <t>renny:</t>
        </r>
        <r>
          <rPr>
            <sz val="9"/>
            <rFont val="Tahoma"/>
            <family val="2"/>
          </rPr>
          <t xml:space="preserve">
LULUS MPTI
Ambil Manrisk</t>
        </r>
      </text>
    </comment>
    <comment ref="C371" authorId="0" shapeId="0" xr:uid="{00000000-0006-0000-0600-00000C000000}">
      <text>
        <r>
          <rPr>
            <b/>
            <sz val="9"/>
            <rFont val="Tahoma"/>
            <family val="2"/>
          </rPr>
          <t>renny:</t>
        </r>
        <r>
          <rPr>
            <sz val="9"/>
            <rFont val="Tahoma"/>
            <family val="2"/>
          </rPr>
          <t xml:space="preserve">
LULUS Alpro</t>
        </r>
      </text>
    </comment>
    <comment ref="C374" authorId="0" shapeId="0" xr:uid="{00000000-0006-0000-0600-00000D000000}">
      <text>
        <r>
          <rPr>
            <b/>
            <sz val="9"/>
            <rFont val="Tahoma"/>
            <family val="2"/>
          </rPr>
          <t>renny:</t>
        </r>
        <r>
          <rPr>
            <sz val="9"/>
            <rFont val="Tahoma"/>
            <family val="2"/>
          </rPr>
          <t xml:space="preserve">
Ambil MOSDM, MPTI</t>
        </r>
      </text>
    </comment>
    <comment ref="C375" authorId="0" shapeId="0" xr:uid="{00000000-0006-0000-0600-00000E000000}">
      <text>
        <r>
          <rPr>
            <b/>
            <sz val="9"/>
            <rFont val="Tahoma"/>
            <family val="2"/>
          </rPr>
          <t>renny:</t>
        </r>
        <r>
          <rPr>
            <sz val="9"/>
            <rFont val="Tahoma"/>
            <family val="2"/>
          </rPr>
          <t xml:space="preserve">
LULUS Tatakelola
Ambil Audit</t>
        </r>
      </text>
    </comment>
  </commentList>
</comments>
</file>

<file path=xl/sharedStrings.xml><?xml version="1.0" encoding="utf-8"?>
<sst xmlns="http://schemas.openxmlformats.org/spreadsheetml/2006/main" count="8020" uniqueCount="1041">
  <si>
    <t>Kode Dosen</t>
  </si>
  <si>
    <t>Nama Dosen</t>
  </si>
  <si>
    <t>AAG</t>
  </si>
  <si>
    <t>Azmi Alvian Gabriel, S.TP., M.P.</t>
  </si>
  <si>
    <t>AAP</t>
  </si>
  <si>
    <t>Atikah Aghdhi Pratiwi, S.T., M.T</t>
  </si>
  <si>
    <t>AAV</t>
  </si>
  <si>
    <t>Anindita Adikaputri Vinaya, S.T., M.T.</t>
  </si>
  <si>
    <t>ADM</t>
  </si>
  <si>
    <t>Ahmad Dahlan Malik, B.A.(Hons). M.Ec.</t>
  </si>
  <si>
    <t>AEP</t>
  </si>
  <si>
    <t>Andhika Eko Prasetyo, S.T., M.T.</t>
  </si>
  <si>
    <t>AFT</t>
  </si>
  <si>
    <t>Alfiana Fitri, SA., MA</t>
  </si>
  <si>
    <t>AHD</t>
  </si>
  <si>
    <t>Ahmad Hudaifah, S.E., M.Ec.</t>
  </si>
  <si>
    <t>ALF</t>
  </si>
  <si>
    <t>Alfina, S.M., M.M.</t>
  </si>
  <si>
    <t>ANW</t>
  </si>
  <si>
    <t>Aditya Narendra Wardhana, S.T., M.SM.</t>
  </si>
  <si>
    <t>ARH</t>
  </si>
  <si>
    <t>ATL</t>
  </si>
  <si>
    <t>Artya Lathifah, S.T., M.Sc., MBA.</t>
  </si>
  <si>
    <t>AZD</t>
  </si>
  <si>
    <t>BAT</t>
  </si>
  <si>
    <t>Bambang Tutuko, S.E., M.M., CFP</t>
  </si>
  <si>
    <t>BMR</t>
  </si>
  <si>
    <t>Brina Miftahurrohmah, S.Si., M.Si</t>
  </si>
  <si>
    <t>CHB</t>
  </si>
  <si>
    <t>Dr. Ir. Chabib Bahari, S.E., M.M.</t>
  </si>
  <si>
    <t>CWU</t>
  </si>
  <si>
    <t>Catur Wulandari, S.Kom., M.Sc</t>
  </si>
  <si>
    <t>DSP</t>
  </si>
  <si>
    <t>Doni Setio Pambudi, S.Kom. M.Kom</t>
  </si>
  <si>
    <t>EFN</t>
  </si>
  <si>
    <t>Elita Fidiya Nugrahani, S.T., M.Eng., M.T.</t>
  </si>
  <si>
    <t>ELD</t>
  </si>
  <si>
    <t>Dr. Erlina Diamastuti, S.E., M.Si., Ak, CA</t>
  </si>
  <si>
    <t>ELS</t>
  </si>
  <si>
    <t>Eka Lutfi Septiani, S.T., M.T.</t>
  </si>
  <si>
    <t>EMH</t>
  </si>
  <si>
    <t>FAP</t>
  </si>
  <si>
    <t>Fandi Angga Prasetya, S.Si., M.Si</t>
  </si>
  <si>
    <t>GFP</t>
  </si>
  <si>
    <t>Grandys Frieska Prassida, S.Kom., M.Kom.</t>
  </si>
  <si>
    <t>GTK</t>
  </si>
  <si>
    <t>Dr. Gatot Kustyadji, S.E., M.Si</t>
  </si>
  <si>
    <t>HDC</t>
  </si>
  <si>
    <t>Hadi Cahyono, S.E., M.M.</t>
  </si>
  <si>
    <t>HNM</t>
  </si>
  <si>
    <t>IAC</t>
  </si>
  <si>
    <t>Irvan Adhin Cholilie, S.TP., M.P</t>
  </si>
  <si>
    <t>IRA</t>
  </si>
  <si>
    <t>Irni Resmi Apriyanti, S.Ds., M.Ds.</t>
  </si>
  <si>
    <t>IWM</t>
  </si>
  <si>
    <t>Izzati Winda Murti, S.T., M.T.</t>
  </si>
  <si>
    <t>JSM</t>
  </si>
  <si>
    <t>Johan Samudra</t>
  </si>
  <si>
    <t>KKU</t>
  </si>
  <si>
    <t>Kuntum Khoiro Ummatin, S.T., M.T.</t>
  </si>
  <si>
    <t>KNH</t>
  </si>
  <si>
    <t>Kurniasari Novi Hardanti, SE., M.CA</t>
  </si>
  <si>
    <t>LEA</t>
  </si>
  <si>
    <t>Almira Fidela Artha, S.S., M.Hum</t>
  </si>
  <si>
    <t>LEB</t>
  </si>
  <si>
    <t>Suryadi Kusniawan S.Hum., M.Hum</t>
  </si>
  <si>
    <t>LEC</t>
  </si>
  <si>
    <t>LED</t>
  </si>
  <si>
    <t>Arif Yarmanto</t>
  </si>
  <si>
    <t>LEE</t>
  </si>
  <si>
    <t>Dr.Eng Chastine Fatichah S.Kom., M.Kom</t>
  </si>
  <si>
    <t>LEF</t>
  </si>
  <si>
    <t>LEG</t>
  </si>
  <si>
    <t>LEH</t>
  </si>
  <si>
    <t>LEI</t>
  </si>
  <si>
    <t>M. Fathoni</t>
  </si>
  <si>
    <t>LEJ</t>
  </si>
  <si>
    <t>LEK</t>
  </si>
  <si>
    <t>LEL</t>
  </si>
  <si>
    <t>LEM</t>
  </si>
  <si>
    <t xml:space="preserve">Shintya </t>
  </si>
  <si>
    <t>LEN</t>
  </si>
  <si>
    <t>LEO</t>
  </si>
  <si>
    <t>Anisa Pinatih</t>
  </si>
  <si>
    <t>LEP</t>
  </si>
  <si>
    <t>LEQ</t>
  </si>
  <si>
    <t>Billy</t>
  </si>
  <si>
    <t>LER</t>
  </si>
  <si>
    <t>Ikhsan Rosyid, S.S., M.Hum</t>
  </si>
  <si>
    <t>LES</t>
  </si>
  <si>
    <t>Syamsudin Chalim S.Pd., M.Pd</t>
  </si>
  <si>
    <t>LET</t>
  </si>
  <si>
    <t>Tontowi Ismail</t>
  </si>
  <si>
    <t>LEU</t>
  </si>
  <si>
    <t>Pristi Rininta</t>
  </si>
  <si>
    <t>LEV</t>
  </si>
  <si>
    <t>LEW</t>
  </si>
  <si>
    <t>Widio Rahardjo S.H.,M.Kn</t>
  </si>
  <si>
    <t>LEX</t>
  </si>
  <si>
    <t>Andy Haryoko S.T., M.Kom</t>
  </si>
  <si>
    <t>LEY</t>
  </si>
  <si>
    <t>LEZ</t>
  </si>
  <si>
    <t>Fathoniz Zakka, Lc. MTh.I</t>
  </si>
  <si>
    <t>LHY</t>
  </si>
  <si>
    <t>Lailatul Hidayah, S.Kom., MS.</t>
  </si>
  <si>
    <t>LKT</t>
  </si>
  <si>
    <t>Luki Trihardani, S.T., M.T.</t>
  </si>
  <si>
    <t>LRS</t>
  </si>
  <si>
    <t>Lisa Risfana Sari S.Si., M.Si</t>
  </si>
  <si>
    <t>MAK</t>
  </si>
  <si>
    <t>Muhammad Akbar, S.E., M.Acc., Ak.</t>
  </si>
  <si>
    <t>MAR</t>
  </si>
  <si>
    <t>Mohammad Arif Rasyidi, S.Kom., M.Sc.</t>
  </si>
  <si>
    <t>MDI</t>
  </si>
  <si>
    <t>Mirza Dwinanda Ilmawan, S.E., M.M.</t>
  </si>
  <si>
    <t>MFI</t>
  </si>
  <si>
    <t>Muhammad Faisal Ibrahim, S.T., M.T.</t>
  </si>
  <si>
    <t>MFT</t>
  </si>
  <si>
    <t>Mia Fathia, S.Si., M.Sc.Fin</t>
  </si>
  <si>
    <t>MHA</t>
  </si>
  <si>
    <t>Drs. Muhammad Asyhad, M.Pd.I.</t>
  </si>
  <si>
    <t>MHN</t>
  </si>
  <si>
    <t>Mala Hayati Nasution, S.T., M.T</t>
  </si>
  <si>
    <t>MMK</t>
  </si>
  <si>
    <t>Marisya Mahdia Khoirina, S.M., M.M.</t>
  </si>
  <si>
    <t>MMP</t>
  </si>
  <si>
    <t>Maulin Masyito Putri, S.T., M.T</t>
  </si>
  <si>
    <t>NCS</t>
  </si>
  <si>
    <t>Ndaru Candra Sukmana, S.Si., M.Si.</t>
  </si>
  <si>
    <t>NEF</t>
  </si>
  <si>
    <t>Nur Eliza Faizaty, S.E., M.Si</t>
  </si>
  <si>
    <t>NGT</t>
  </si>
  <si>
    <t>NRS</t>
  </si>
  <si>
    <t>Nova Ridho Sisprasojo, S.Sn., M.Ds.</t>
  </si>
  <si>
    <t>NWF</t>
  </si>
  <si>
    <t>Niswatun Faria, S.T., M.Sc</t>
  </si>
  <si>
    <t>OAC</t>
  </si>
  <si>
    <t>Oki Anita Candra Dewi, S.T., M.T.</t>
  </si>
  <si>
    <t>OPP</t>
  </si>
  <si>
    <t>Okky Putri Prastuti, S.T., M.T.</t>
  </si>
  <si>
    <t>PAY</t>
  </si>
  <si>
    <t>Puji Andayani, S.Si., M.Si., M.Sc.</t>
  </si>
  <si>
    <t>PRM</t>
  </si>
  <si>
    <t>Paramita Setyaningrum, S.T., M.T.</t>
  </si>
  <si>
    <t>PTA</t>
  </si>
  <si>
    <t>Putri Amelia, S.T., M.T., M.Eng.</t>
  </si>
  <si>
    <t>QAN</t>
  </si>
  <si>
    <t>Qurrotin A'yunina Maulida Okta Arifianti, S.T., M.S.</t>
  </si>
  <si>
    <t>RHY</t>
  </si>
  <si>
    <t>Ruktin Handayani, S.Kom., M.Kom.</t>
  </si>
  <si>
    <t>RNA</t>
  </si>
  <si>
    <t>Rizky Noviasri, S.Sn., M.Ds.</t>
  </si>
  <si>
    <t>RNU</t>
  </si>
  <si>
    <t>Roostikasari Nugraheni, S.Hum., M.Med.Kom.</t>
  </si>
  <si>
    <t>RRI</t>
  </si>
  <si>
    <t>Rosa Rilantiana, S.E., M.M.</t>
  </si>
  <si>
    <t>RSD</t>
  </si>
  <si>
    <t>Renny Sari Dewi, S.Kom., M.Kom.</t>
  </si>
  <si>
    <t>SEW</t>
  </si>
  <si>
    <t>Stefanus Eko Wiratno, S.T., M.Sc.</t>
  </si>
  <si>
    <t>SFI</t>
  </si>
  <si>
    <t>Sugeng Firdausi, S.E., Ak.,  M.M. MIFP.</t>
  </si>
  <si>
    <t>SKS</t>
  </si>
  <si>
    <t>Shanti Kartika Sari, S.T.,M.S.</t>
  </si>
  <si>
    <t>SNM</t>
  </si>
  <si>
    <t>Siti Nurminarsih, S.T., M.T.</t>
  </si>
  <si>
    <t>SUW</t>
  </si>
  <si>
    <t>Sekarsari Utami Wijaya, S.Stat</t>
  </si>
  <si>
    <t>TAN</t>
  </si>
  <si>
    <t>Tyas Ajeng Nastiti, S.T., M.Ds.</t>
  </si>
  <si>
    <t>TKN</t>
  </si>
  <si>
    <t>Tikno, S.T., M.Kom.</t>
  </si>
  <si>
    <t>TQB</t>
  </si>
  <si>
    <t>Taufiqotul Bariyah S.Kom., M.IM</t>
  </si>
  <si>
    <t>TSJ</t>
  </si>
  <si>
    <t>Prof. Tjiptohadi Sawarjuwono, M.Ec., Ph.D., CPA., CA.</t>
  </si>
  <si>
    <t>TWA</t>
  </si>
  <si>
    <t>Trias Widha Andari, S.Sn., M.Ds.</t>
  </si>
  <si>
    <t>UAG</t>
  </si>
  <si>
    <t>Ufafa Anggarini, S.Si., M.Si.</t>
  </si>
  <si>
    <t>VPU</t>
  </si>
  <si>
    <t>WAH</t>
  </si>
  <si>
    <t>Wahyu Agung Handono, S.E., M.M.</t>
  </si>
  <si>
    <t>WKS</t>
  </si>
  <si>
    <t>Wahyu Kamal Setiawan, S.TP., M.Si.</t>
  </si>
  <si>
    <t>WND</t>
  </si>
  <si>
    <t>Winda Narulidea, S.T., M.T.</t>
  </si>
  <si>
    <t>YIR</t>
  </si>
  <si>
    <t>Yohanes Indra Riskajaya, S.Kom., M.Kom</t>
  </si>
  <si>
    <t>YNK</t>
  </si>
  <si>
    <t>Yuni Kurniati, S.T., M.T.</t>
  </si>
  <si>
    <t>YNT</t>
  </si>
  <si>
    <t>Yanuar Trisnowati, S.E., M.M.</t>
  </si>
  <si>
    <t>YSD</t>
  </si>
  <si>
    <t>Yogantara Setya Dharmawan, S.Kom., M.Sc</t>
  </si>
  <si>
    <t>YSM</t>
  </si>
  <si>
    <t>Kelas</t>
  </si>
  <si>
    <t>AK-5A</t>
  </si>
  <si>
    <t>AK-5B</t>
  </si>
  <si>
    <t>AK-3A</t>
  </si>
  <si>
    <t>AK-3B</t>
  </si>
  <si>
    <t>AK-1A</t>
  </si>
  <si>
    <t>AK-1B</t>
  </si>
  <si>
    <t>DKV-3A</t>
  </si>
  <si>
    <t>DKV-1A</t>
  </si>
  <si>
    <t>DKV-5A</t>
  </si>
  <si>
    <t>ES-3A</t>
  </si>
  <si>
    <t>ES-1A</t>
  </si>
  <si>
    <t>ES-5A</t>
  </si>
  <si>
    <t>ES-5B</t>
  </si>
  <si>
    <t>IF-1A</t>
  </si>
  <si>
    <t>IF-1B</t>
  </si>
  <si>
    <t>IF-3A</t>
  </si>
  <si>
    <t>IF-3B</t>
  </si>
  <si>
    <t>IF-5A</t>
  </si>
  <si>
    <t>IF-5B</t>
  </si>
  <si>
    <t>MG-3B</t>
  </si>
  <si>
    <t>MG-3C</t>
  </si>
  <si>
    <t>MG-3A</t>
  </si>
  <si>
    <t>MG-1A</t>
  </si>
  <si>
    <t>MG-1B</t>
  </si>
  <si>
    <t>MG-1C</t>
  </si>
  <si>
    <t>MG-7A</t>
  </si>
  <si>
    <t>MG-7B</t>
  </si>
  <si>
    <t>MG-7C</t>
  </si>
  <si>
    <t>MG-5A</t>
  </si>
  <si>
    <t>MG-5B</t>
  </si>
  <si>
    <t>MG-5C</t>
  </si>
  <si>
    <t>MR-1A</t>
  </si>
  <si>
    <t>MR-3A</t>
  </si>
  <si>
    <t>MR-5A</t>
  </si>
  <si>
    <t>MR-5B</t>
  </si>
  <si>
    <t>MR-7A</t>
  </si>
  <si>
    <t>SI-3A</t>
  </si>
  <si>
    <t>SI-1A</t>
  </si>
  <si>
    <t>SI-5A</t>
  </si>
  <si>
    <t>TK-1A</t>
  </si>
  <si>
    <t>TK-1B</t>
  </si>
  <si>
    <t>TK-3A</t>
  </si>
  <si>
    <t>TK-3B</t>
  </si>
  <si>
    <t>TK-5A</t>
  </si>
  <si>
    <t>TK-5B</t>
  </si>
  <si>
    <t>TK-A</t>
  </si>
  <si>
    <t>TL-1A</t>
  </si>
  <si>
    <t>TL-1B</t>
  </si>
  <si>
    <t>TL-3A</t>
  </si>
  <si>
    <t>TL-3B</t>
  </si>
  <si>
    <t>TL-5A</t>
  </si>
  <si>
    <t>TL-5B</t>
  </si>
  <si>
    <t>TL-A</t>
  </si>
  <si>
    <t>TIP-5A</t>
  </si>
  <si>
    <t>TIP-3A</t>
  </si>
  <si>
    <t>TIP-1A</t>
  </si>
  <si>
    <t>TIP-A</t>
  </si>
  <si>
    <t>Kode Ruangan</t>
  </si>
  <si>
    <t>Nama Ruangan</t>
  </si>
  <si>
    <t>G3.R1</t>
  </si>
  <si>
    <t>Kampus A Gedung 3 Ruang 1</t>
  </si>
  <si>
    <t>G3.R2</t>
  </si>
  <si>
    <t>Kampus A Gedung 3 Ruang 2</t>
  </si>
  <si>
    <t>G3.R3</t>
  </si>
  <si>
    <t>Kampus A Gedung 3 Ruang 3</t>
  </si>
  <si>
    <t>G3.R4</t>
  </si>
  <si>
    <t>Kampus A Gedung 3 Ruang 4</t>
  </si>
  <si>
    <t>G3.R5</t>
  </si>
  <si>
    <t>Kampus A Gedung 3 Ruang 5</t>
  </si>
  <si>
    <t>G3.R6</t>
  </si>
  <si>
    <t>Kampus A Gedung 3 Ruang 6</t>
  </si>
  <si>
    <t>G4.R1</t>
  </si>
  <si>
    <t>Kampus A Gedung 4 Ruang 1</t>
  </si>
  <si>
    <t>G4.R2</t>
  </si>
  <si>
    <t>Kampus A Gedung 4 Ruang 2</t>
  </si>
  <si>
    <t>G4.R3</t>
  </si>
  <si>
    <t>Kampus A Gedung 4 Ruang 3</t>
  </si>
  <si>
    <t>G4.R4</t>
  </si>
  <si>
    <t>Kampus A Gedung 4 Ruang 4</t>
  </si>
  <si>
    <t>Coal Mill 101</t>
  </si>
  <si>
    <t>Kampus B Gedung 1 Lantai 1 Ruang 1</t>
  </si>
  <si>
    <t>Coal Mill 102</t>
  </si>
  <si>
    <t>Kampus B Gedung 1 Lantai 1 Ruang 2</t>
  </si>
  <si>
    <t>Coal Mill 103</t>
  </si>
  <si>
    <t>Kampus B Gedung 1 Lantai 1 Ruang 3</t>
  </si>
  <si>
    <t>Coal Mill 201</t>
  </si>
  <si>
    <t>Kampus B Gedung 1 Lantai 2 Ruang 1</t>
  </si>
  <si>
    <t>Coal Mill 202</t>
  </si>
  <si>
    <t>Kampus B Gedung 1 Lantai 2 Ruang 2</t>
  </si>
  <si>
    <t>Coal Mill 203</t>
  </si>
  <si>
    <t>Kampus B Gedung 1 Lantai 2 Ruang 3</t>
  </si>
  <si>
    <t>Coal Mill 204</t>
  </si>
  <si>
    <t>Kampus B Gedung 1 Lantai 2 Ruang 4</t>
  </si>
  <si>
    <t>Coal Mill 205</t>
  </si>
  <si>
    <t>Kampus B Gedung 1 Lantai 2 Ruang 5</t>
  </si>
  <si>
    <t>Coal Mill 206</t>
  </si>
  <si>
    <t>Kampus B Gedung 1 Lantai 2 Ruang 6</t>
  </si>
  <si>
    <t>Coal Mill 207</t>
  </si>
  <si>
    <t>Kampus B Gedung 1 Lantai 2 Ruang 7</t>
  </si>
  <si>
    <t>Coal Mill 208</t>
  </si>
  <si>
    <t>Kampus B Gedung 1 Lantai 2 Ruang 8</t>
  </si>
  <si>
    <t>Coal Mill 301</t>
  </si>
  <si>
    <t>Kampus B Gedung 1 Lantai 3 Ruang 1</t>
  </si>
  <si>
    <t>Coal Mill 302</t>
  </si>
  <si>
    <t>Kampus B Gedung 1 Lantai 3 Ruang 2</t>
  </si>
  <si>
    <t>Auditorium</t>
  </si>
  <si>
    <t>Kampus B Gedung 1 Lantai 1 Ruang Auditorium</t>
  </si>
  <si>
    <t>Lab 1</t>
  </si>
  <si>
    <t>Lab 2</t>
  </si>
  <si>
    <t>Kode Matakuliah</t>
  </si>
  <si>
    <t>Nama Matakuliah</t>
  </si>
  <si>
    <t>GS1IR02</t>
  </si>
  <si>
    <t>FE1BA03</t>
  </si>
  <si>
    <t>Akuntansi Dasar I</t>
  </si>
  <si>
    <t>AC1K323</t>
  </si>
  <si>
    <t>Akuntansi Keperilakuan</t>
  </si>
  <si>
    <t>AC1K313</t>
  </si>
  <si>
    <t>Akuntansi Keuangan Lanjutan I</t>
  </si>
  <si>
    <t>AC1K113</t>
  </si>
  <si>
    <t>Akuntansi Keuangan Menengah I</t>
  </si>
  <si>
    <t>AC1C213</t>
  </si>
  <si>
    <t>Akuntansi Manajemen</t>
  </si>
  <si>
    <t>AC1F313</t>
  </si>
  <si>
    <t>Analisa Laporan Keuangan</t>
  </si>
  <si>
    <t>Aspek Hukum Dalam Bisnis</t>
  </si>
  <si>
    <t>GS1WS02</t>
  </si>
  <si>
    <t>Bahasa Indonesia</t>
  </si>
  <si>
    <t>FE1EB02</t>
  </si>
  <si>
    <t>Bahasa Inggris Bisnis</t>
  </si>
  <si>
    <t>FE1MI03</t>
  </si>
  <si>
    <t>Ekonomi Mikro</t>
  </si>
  <si>
    <t>GS1EP03</t>
  </si>
  <si>
    <t>Kewirausahaan</t>
  </si>
  <si>
    <t>AC1F323</t>
  </si>
  <si>
    <t>Manajemen Keuangan Stratejik</t>
  </si>
  <si>
    <t>FE1BS13</t>
  </si>
  <si>
    <t>Manajemen Pemasaran</t>
  </si>
  <si>
    <t>FE1MB03</t>
  </si>
  <si>
    <t>Matematika Bisnis</t>
  </si>
  <si>
    <t>Metodologi Penelitian</t>
  </si>
  <si>
    <t>FE1IM03</t>
  </si>
  <si>
    <t>Pengantar Bisnis</t>
  </si>
  <si>
    <t>AC1B103</t>
  </si>
  <si>
    <t>Perbankan Dan Lembaga Keuangan</t>
  </si>
  <si>
    <t>Perencanaan Keuangan</t>
  </si>
  <si>
    <t>AC1T103</t>
  </si>
  <si>
    <t>Perpajakan</t>
  </si>
  <si>
    <t>AC1A212</t>
  </si>
  <si>
    <t>Praktik Audit</t>
  </si>
  <si>
    <t>AC1F412</t>
  </si>
  <si>
    <t>Simulasi Kelayakan Bisnis</t>
  </si>
  <si>
    <t>FE1ST03</t>
  </si>
  <si>
    <t>Statistik</t>
  </si>
  <si>
    <t>AC1K013</t>
  </si>
  <si>
    <t>Teori Akuntansi</t>
  </si>
  <si>
    <t>GS1EI02</t>
  </si>
  <si>
    <t>Wawasan Lingkungan</t>
  </si>
  <si>
    <t>FE1FM03</t>
  </si>
  <si>
    <t>Manajemen Keuangan</t>
  </si>
  <si>
    <t>GS1EL02</t>
  </si>
  <si>
    <t>Bahasa Inggris</t>
  </si>
  <si>
    <t>VD1BK02</t>
  </si>
  <si>
    <t>VD1IK03</t>
  </si>
  <si>
    <t>Bisnis Industri Kreatif</t>
  </si>
  <si>
    <t>VD1BR03</t>
  </si>
  <si>
    <t>Budaya Rupa Indonesia</t>
  </si>
  <si>
    <t>VD1CW03</t>
  </si>
  <si>
    <t>Copywriting</t>
  </si>
  <si>
    <t>VD1DP03</t>
  </si>
  <si>
    <t>VD1DS03</t>
  </si>
  <si>
    <t>VD1EX03</t>
  </si>
  <si>
    <t>Exhibition</t>
  </si>
  <si>
    <t>VD1GS03</t>
  </si>
  <si>
    <t>VD1IF03</t>
  </si>
  <si>
    <t>FT1IM03</t>
  </si>
  <si>
    <t>VD1MC02</t>
  </si>
  <si>
    <t>Kajian Media Cetak</t>
  </si>
  <si>
    <t>VD1MP03</t>
  </si>
  <si>
    <t>Media Planning</t>
  </si>
  <si>
    <t>VD1MF03</t>
  </si>
  <si>
    <t>Multimedia (Fotografi)</t>
  </si>
  <si>
    <t>VD1NB03</t>
  </si>
  <si>
    <t>Nirmana Dwimatra-Black &amp; White</t>
  </si>
  <si>
    <t>VD1NT03</t>
  </si>
  <si>
    <t>Nirmana Trimatra</t>
  </si>
  <si>
    <t>VD1DK03</t>
  </si>
  <si>
    <t>FT1TI02</t>
  </si>
  <si>
    <t>Pengantar Teknologi Informasi</t>
  </si>
  <si>
    <t>VD1PD52</t>
  </si>
  <si>
    <t>Poster Design</t>
  </si>
  <si>
    <t>VD1PK02</t>
  </si>
  <si>
    <t>Psikologi Komunikasi</t>
  </si>
  <si>
    <t>VD1SM03</t>
  </si>
  <si>
    <t>VD1TA13</t>
  </si>
  <si>
    <t>Tipografi Aplikatif</t>
  </si>
  <si>
    <t>VD1WD03</t>
  </si>
  <si>
    <t>Web Design</t>
  </si>
  <si>
    <t>FE1AD03</t>
  </si>
  <si>
    <t>Akuntansi Dasar (Pengantar Akuntansi)</t>
  </si>
  <si>
    <t xml:space="preserve">Akuntansi Syariah </t>
  </si>
  <si>
    <t>SE1TQ02</t>
  </si>
  <si>
    <t>Baca Tulis Al'Quran</t>
  </si>
  <si>
    <t xml:space="preserve">Bisnis Internasional </t>
  </si>
  <si>
    <t>Ekonomi Koperasi</t>
  </si>
  <si>
    <t>FE1MA03</t>
  </si>
  <si>
    <t>Ekonomi Makro</t>
  </si>
  <si>
    <t xml:space="preserve">Ekonomi Mikro </t>
  </si>
  <si>
    <t>GS7SP03</t>
  </si>
  <si>
    <t>GS7IH03</t>
  </si>
  <si>
    <t xml:space="preserve">Magang </t>
  </si>
  <si>
    <t>Manajemen Bank Syariah</t>
  </si>
  <si>
    <t>Manajemen Strategi</t>
  </si>
  <si>
    <t>Manajemen Sumber Daya Manusia</t>
  </si>
  <si>
    <t>SE1EI03</t>
  </si>
  <si>
    <t>Pengantar Ekonomi Islam</t>
  </si>
  <si>
    <t>Pengantar Lembaga Keuangan &amp; Perbankan Syariah</t>
  </si>
  <si>
    <t xml:space="preserve">Seminar Proposal Penelitian </t>
  </si>
  <si>
    <t>Statistik Bisnis I</t>
  </si>
  <si>
    <t xml:space="preserve">Ushul Fiqh </t>
  </si>
  <si>
    <t>GS7II02</t>
  </si>
  <si>
    <t>Wawasan Persemenan</t>
  </si>
  <si>
    <t>MG1AB23</t>
  </si>
  <si>
    <t>Akuntansi Biaya</t>
  </si>
  <si>
    <t>MG1BK02</t>
  </si>
  <si>
    <t>Berpikir Kreatif Sistemik</t>
  </si>
  <si>
    <t>MG1X153</t>
  </si>
  <si>
    <t>MG1EB12</t>
  </si>
  <si>
    <t>Hukum Etika Bisnis</t>
  </si>
  <si>
    <t>GS1SP02</t>
  </si>
  <si>
    <t>MG1MK12</t>
  </si>
  <si>
    <t>Manajemen Kinerja</t>
  </si>
  <si>
    <t>MG1P953</t>
  </si>
  <si>
    <t>Manajemen Kompensasi</t>
  </si>
  <si>
    <t>MG1AP33</t>
  </si>
  <si>
    <t>MG1P353</t>
  </si>
  <si>
    <t>Manajemen Ritel</t>
  </si>
  <si>
    <t>MG1MS13</t>
  </si>
  <si>
    <t>MG1MK13</t>
  </si>
  <si>
    <t>Metode Kuantitatif Bisnis</t>
  </si>
  <si>
    <t>MG1X253</t>
  </si>
  <si>
    <t>Penganggaran Perusahaan</t>
  </si>
  <si>
    <t>MG1PA03</t>
  </si>
  <si>
    <t>Pengantar Akuntansi 1</t>
  </si>
  <si>
    <t>MG1PB03</t>
  </si>
  <si>
    <t>Pengantar Manajemen</t>
  </si>
  <si>
    <t>Perilaku Organisasi</t>
  </si>
  <si>
    <t>MG1PF13</t>
  </si>
  <si>
    <t>MG1PS33</t>
  </si>
  <si>
    <t>Proyek Bisnis Sosial</t>
  </si>
  <si>
    <t>Riset Bisnis</t>
  </si>
  <si>
    <t>MG1SB02</t>
  </si>
  <si>
    <t>MG1SB33</t>
  </si>
  <si>
    <t>EM13013</t>
  </si>
  <si>
    <t>FA1A803</t>
  </si>
  <si>
    <t>Ekonomi Teknik</t>
  </si>
  <si>
    <t>EM11413</t>
  </si>
  <si>
    <t>FA1A303</t>
  </si>
  <si>
    <t>FA1A503</t>
  </si>
  <si>
    <t>Kalkulus I</t>
  </si>
  <si>
    <t>EM12823</t>
  </si>
  <si>
    <t>FA1A403</t>
  </si>
  <si>
    <t>Kimia Dasar</t>
  </si>
  <si>
    <t>EM12322</t>
  </si>
  <si>
    <t>Manajemen Proyek</t>
  </si>
  <si>
    <t>EM12123</t>
  </si>
  <si>
    <t>EM10923</t>
  </si>
  <si>
    <t>EM10103</t>
  </si>
  <si>
    <t>EM12913</t>
  </si>
  <si>
    <t>EM10102</t>
  </si>
  <si>
    <t>EM10802</t>
  </si>
  <si>
    <t>EM10302</t>
  </si>
  <si>
    <t>EM12013</t>
  </si>
  <si>
    <t>EM12523</t>
  </si>
  <si>
    <t>EM12113</t>
  </si>
  <si>
    <t>EM11013</t>
  </si>
  <si>
    <t>EM11123</t>
  </si>
  <si>
    <t>IS1B102</t>
  </si>
  <si>
    <t>IS1C103</t>
  </si>
  <si>
    <t>IS1D113</t>
  </si>
  <si>
    <t>IS1B203</t>
  </si>
  <si>
    <t>IS1N212</t>
  </si>
  <si>
    <t>IS1C703</t>
  </si>
  <si>
    <t>IS1M123</t>
  </si>
  <si>
    <t>IS1C633</t>
  </si>
  <si>
    <t>IS1A253</t>
  </si>
  <si>
    <t>IS1B403</t>
  </si>
  <si>
    <t>Matematika Diskrit</t>
  </si>
  <si>
    <t>IS1B503</t>
  </si>
  <si>
    <t>IS1P333</t>
  </si>
  <si>
    <t>IS1B303</t>
  </si>
  <si>
    <t>IS1VM22</t>
  </si>
  <si>
    <t>IS1EB22</t>
  </si>
  <si>
    <t>IS1BP23</t>
  </si>
  <si>
    <t>IS1SP23</t>
  </si>
  <si>
    <t>IS1SE12</t>
  </si>
  <si>
    <t>IS1M233</t>
  </si>
  <si>
    <t>IS1G333</t>
  </si>
  <si>
    <t>IS1P533</t>
  </si>
  <si>
    <t>IS1G103</t>
  </si>
  <si>
    <t>IF12444</t>
  </si>
  <si>
    <t>IF14333</t>
  </si>
  <si>
    <t>Desain Perangkat Lunak</t>
  </si>
  <si>
    <t>IF17143</t>
  </si>
  <si>
    <t>IF11203</t>
  </si>
  <si>
    <t>IF15323</t>
  </si>
  <si>
    <t>KKN</t>
  </si>
  <si>
    <t>IF12103</t>
  </si>
  <si>
    <t>Logika Pemrograman</t>
  </si>
  <si>
    <t>IF13243</t>
  </si>
  <si>
    <t>Machine Learning</t>
  </si>
  <si>
    <t>IF14433</t>
  </si>
  <si>
    <t>Manajemen Basis Data</t>
  </si>
  <si>
    <t>IF14513</t>
  </si>
  <si>
    <t>Manajemen Proyek Perangkat Lunak</t>
  </si>
  <si>
    <t>IF11103</t>
  </si>
  <si>
    <t>IF12333</t>
  </si>
  <si>
    <t>IF14134</t>
  </si>
  <si>
    <t>Sistem Basis Data</t>
  </si>
  <si>
    <t>IF15103</t>
  </si>
  <si>
    <t>Sistem Digital</t>
  </si>
  <si>
    <t>IF18103</t>
  </si>
  <si>
    <t>Sistem Enterprise</t>
  </si>
  <si>
    <t>IF15203</t>
  </si>
  <si>
    <t>Sistem Operasi</t>
  </si>
  <si>
    <t>IF16243</t>
  </si>
  <si>
    <t>Sistem Terdistribusi</t>
  </si>
  <si>
    <t>IF11613</t>
  </si>
  <si>
    <t>Statistika Komputasi</t>
  </si>
  <si>
    <t>IF17453</t>
  </si>
  <si>
    <t>Visi Komputer</t>
  </si>
  <si>
    <t>GS1II02</t>
  </si>
  <si>
    <t>CE1G213</t>
  </si>
  <si>
    <t>Azas Teknik Kimia 2</t>
  </si>
  <si>
    <t>CE1K152</t>
  </si>
  <si>
    <t>Bahan Konstruksi &amp; Korosi</t>
  </si>
  <si>
    <t>CE1K103</t>
  </si>
  <si>
    <t>Dinamika &amp; Pengendalian Proses</t>
  </si>
  <si>
    <t>CE1B112</t>
  </si>
  <si>
    <t>Gambar Teknik</t>
  </si>
  <si>
    <t>Kalkulus 1</t>
  </si>
  <si>
    <t>GS1EP02</t>
  </si>
  <si>
    <t>CE1C123</t>
  </si>
  <si>
    <t>CE1F113</t>
  </si>
  <si>
    <t>CE1D333</t>
  </si>
  <si>
    <t>CE1E202</t>
  </si>
  <si>
    <t>Lab Teknik Kimia 1</t>
  </si>
  <si>
    <t>CE1D123</t>
  </si>
  <si>
    <t>Matematika Teknik Kimia 1</t>
  </si>
  <si>
    <t>CE1E334</t>
  </si>
  <si>
    <t>Operasi Teknik Kimia 2</t>
  </si>
  <si>
    <t>CE1I103</t>
  </si>
  <si>
    <t>Pengantar Teknologi</t>
  </si>
  <si>
    <t>CE1L253</t>
  </si>
  <si>
    <t>CE1L353</t>
  </si>
  <si>
    <t>CE1E103</t>
  </si>
  <si>
    <t>Proses Perpindahan</t>
  </si>
  <si>
    <t>CE1J402</t>
  </si>
  <si>
    <t>Sistem Utilitas Pabrik</t>
  </si>
  <si>
    <t>CE1F402</t>
  </si>
  <si>
    <t>Teknik Biokimia</t>
  </si>
  <si>
    <t>CE1H103</t>
  </si>
  <si>
    <t>Teknik Reaksi Kimia 1</t>
  </si>
  <si>
    <t>CE1C213</t>
  </si>
  <si>
    <t>Thermodinamika 1</t>
  </si>
  <si>
    <t>CE1J524</t>
  </si>
  <si>
    <t>Tugas Pra Desain Pabrik Kimia</t>
  </si>
  <si>
    <t>LE1AF25</t>
  </si>
  <si>
    <t>Analisis Perancangan Sistem Logistik Terintegrasi</t>
  </si>
  <si>
    <t>City Logistics (Pilihan)</t>
  </si>
  <si>
    <t>LE1MB03</t>
  </si>
  <si>
    <t>Fisika Dasar</t>
  </si>
  <si>
    <t>LE1EB02</t>
  </si>
  <si>
    <t>K3 (Pilihan)</t>
  </si>
  <si>
    <t>LE1MA03</t>
  </si>
  <si>
    <t>LE1MC03</t>
  </si>
  <si>
    <t>LE1EH12</t>
  </si>
  <si>
    <t>Konsep Pemodelan Sistem</t>
  </si>
  <si>
    <t>LE1EA02</t>
  </si>
  <si>
    <t>LE1AH03</t>
  </si>
  <si>
    <t>Manajemen Kinerja &amp; Risiko (Pilihan)</t>
  </si>
  <si>
    <t>LE1BI02</t>
  </si>
  <si>
    <t>Manajemen Organisasi Dan Sumber Daya Manusia</t>
  </si>
  <si>
    <t>LE1BO22</t>
  </si>
  <si>
    <t>LE1EG13</t>
  </si>
  <si>
    <t>Matematika Optimasi</t>
  </si>
  <si>
    <t>LE1AI12</t>
  </si>
  <si>
    <t>LE1BK13</t>
  </si>
  <si>
    <t>Penanganan Material Dan Pengemasan</t>
  </si>
  <si>
    <t>LE1BA03</t>
  </si>
  <si>
    <t>Pengantar Teknik Logistik</t>
  </si>
  <si>
    <t>LE1BL23</t>
  </si>
  <si>
    <t>Perancangan Sistem Informasi Logistik</t>
  </si>
  <si>
    <t>LE1AA24</t>
  </si>
  <si>
    <t>Perancangan Sistem Transportasi Darat</t>
  </si>
  <si>
    <t>LE1AE24</t>
  </si>
  <si>
    <t>Perancangan Sistem Transportasi Udara</t>
  </si>
  <si>
    <t>LE1EF13</t>
  </si>
  <si>
    <t>Riset Operasi Ii</t>
  </si>
  <si>
    <t>LE1BB13</t>
  </si>
  <si>
    <t>Riset Pasar</t>
  </si>
  <si>
    <t>LE1BJ23</t>
  </si>
  <si>
    <t>Sistem Pengadaan</t>
  </si>
  <si>
    <t>LE1BC03</t>
  </si>
  <si>
    <t>Sistem Produksi</t>
  </si>
  <si>
    <t>LE1MF13</t>
  </si>
  <si>
    <t>Statistika Ii</t>
  </si>
  <si>
    <t>AE7G123</t>
  </si>
  <si>
    <t>Analisis Kelayakan Proyek</t>
  </si>
  <si>
    <t>AE5M123</t>
  </si>
  <si>
    <t>Fisika Dasar+1</t>
  </si>
  <si>
    <t>AE1S103</t>
  </si>
  <si>
    <t>AE1O102</t>
  </si>
  <si>
    <t>GS7IH02</t>
  </si>
  <si>
    <t>Magang</t>
  </si>
  <si>
    <t>AE5T323</t>
  </si>
  <si>
    <t>Manajemen Mutu+1</t>
  </si>
  <si>
    <t>AE7M153</t>
  </si>
  <si>
    <t>Manajemen Pemasaran (Pilihan III)</t>
  </si>
  <si>
    <t>AE7M112</t>
  </si>
  <si>
    <t>AE3T113</t>
  </si>
  <si>
    <t>Mesin Dan Peralatan Industri</t>
  </si>
  <si>
    <t>AE1M103</t>
  </si>
  <si>
    <t>Pengantar Agroindustri</t>
  </si>
  <si>
    <t>AE1M102</t>
  </si>
  <si>
    <t>Pengantar Ilmu Ekonomi</t>
  </si>
  <si>
    <t>AE3T124</t>
  </si>
  <si>
    <t>Pengetahuan Bahan Agroindustri+1</t>
  </si>
  <si>
    <t>AE7M123</t>
  </si>
  <si>
    <t>Perancangan Pabrik</t>
  </si>
  <si>
    <t>AE5T123</t>
  </si>
  <si>
    <t>Perencanaan Dan Pengendalian Produksi</t>
  </si>
  <si>
    <t>AE7G353</t>
  </si>
  <si>
    <t>Regulasi Pangan (Pilihan I)</t>
  </si>
  <si>
    <t>AE3G123</t>
  </si>
  <si>
    <t>Riset Operasional</t>
  </si>
  <si>
    <t>AE3G213</t>
  </si>
  <si>
    <t>Satuan Operasi</t>
  </si>
  <si>
    <t>AE3G113</t>
  </si>
  <si>
    <t>Statistika Industri Ii</t>
  </si>
  <si>
    <t>AE5G103</t>
  </si>
  <si>
    <t>Tata Cara Kerja Dan Ergonomi</t>
  </si>
  <si>
    <t>AE7T153</t>
  </si>
  <si>
    <t xml:space="preserve">Teknologi Pati, Gula, Dan Sukrokimia (Pilihan II) </t>
  </si>
  <si>
    <t>AE5T223</t>
  </si>
  <si>
    <t>Teknologi Pengemasan Dan Pengawetan+1</t>
  </si>
  <si>
    <t>GS3EI02</t>
  </si>
  <si>
    <t>User Interface-Experience (UI/UX)</t>
  </si>
  <si>
    <t>Statistika Industri II</t>
  </si>
  <si>
    <t>Ruangan</t>
  </si>
  <si>
    <t>AK-7A</t>
  </si>
  <si>
    <t>AK-7B</t>
  </si>
  <si>
    <t>DKV-7A</t>
  </si>
  <si>
    <t>ES-7A</t>
  </si>
  <si>
    <t>IF-7A</t>
  </si>
  <si>
    <t>IF-7B</t>
  </si>
  <si>
    <t>SI-5B</t>
  </si>
  <si>
    <t>SI-7A</t>
  </si>
  <si>
    <t>TK-7A</t>
  </si>
  <si>
    <t>TK-7B</t>
  </si>
  <si>
    <t>TL-7A</t>
  </si>
  <si>
    <t>TL-7B</t>
  </si>
  <si>
    <t>TIP-7A</t>
  </si>
  <si>
    <t>Program Study</t>
  </si>
  <si>
    <t>Sebenarnya</t>
  </si>
  <si>
    <t>Pengganti</t>
  </si>
  <si>
    <t>Akuntansi</t>
  </si>
  <si>
    <t>0</t>
  </si>
  <si>
    <t>Ekonomi Syariah</t>
  </si>
  <si>
    <t>ES-5A, ES-5B</t>
  </si>
  <si>
    <t/>
  </si>
  <si>
    <t>Manajemen</t>
  </si>
  <si>
    <t>LB</t>
  </si>
  <si>
    <t>Manajemen Rekayasa</t>
  </si>
  <si>
    <t>Sistem Informasi</t>
  </si>
  <si>
    <t>Teknik Kimia</t>
  </si>
  <si>
    <t>Nanoteknologi (Pilihan Keahlian 2)</t>
  </si>
  <si>
    <t>TK-B</t>
  </si>
  <si>
    <t>Teknologi Katalis (Pilihan Keahlian 2)</t>
  </si>
  <si>
    <t>Manajemen B3 (Pilihan Keahlian 3)</t>
  </si>
  <si>
    <t>Manajemen Proyek (Pilihan Keahlian 3)</t>
  </si>
  <si>
    <t>CE1K252</t>
  </si>
  <si>
    <t>Pengelolaan Limbah Industri</t>
  </si>
  <si>
    <t>CE1K352</t>
  </si>
  <si>
    <t>Manajemen Pabrik Kimia</t>
  </si>
  <si>
    <t>CE1K452</t>
  </si>
  <si>
    <t>Keselamatan Pabrik Kimia</t>
  </si>
  <si>
    <t>Teknik Logistik</t>
  </si>
  <si>
    <t>Limestone</t>
  </si>
  <si>
    <t>Pemrograman II</t>
  </si>
  <si>
    <t>TK-7A,TK-7B,TL-5A,TL-5B</t>
  </si>
  <si>
    <t>TL-3A,TL-3B</t>
  </si>
  <si>
    <t>SI-5A, SI-5B</t>
  </si>
  <si>
    <t>DYS</t>
  </si>
  <si>
    <t>FRD</t>
  </si>
  <si>
    <t>Adelia</t>
  </si>
  <si>
    <t>Amira</t>
  </si>
  <si>
    <t>Ilmanza Restuadi Kurniawan</t>
  </si>
  <si>
    <t>Nugrahadi</t>
  </si>
  <si>
    <t>Putri AKSI</t>
  </si>
  <si>
    <t xml:space="preserve">Kartika </t>
  </si>
  <si>
    <t>Agama</t>
  </si>
  <si>
    <t>Statistika 2</t>
  </si>
  <si>
    <t>MG1MT13</t>
  </si>
  <si>
    <t>MG1PO13</t>
  </si>
  <si>
    <t>Perpajakan dan Fiskal</t>
  </si>
  <si>
    <t>MG1RB33</t>
  </si>
  <si>
    <t>MG7MM13</t>
  </si>
  <si>
    <t xml:space="preserve">Manajemen Merek </t>
  </si>
  <si>
    <t>MG1X453</t>
  </si>
  <si>
    <t>Komunikasi Pemasaran Terpadu</t>
  </si>
  <si>
    <t>MG1P753</t>
  </si>
  <si>
    <t>Keuangan Korporasi</t>
  </si>
  <si>
    <t xml:space="preserve">Pelatihan dan Pengembangan SDM </t>
  </si>
  <si>
    <t>FE1EB03</t>
  </si>
  <si>
    <t>AC1E103</t>
  </si>
  <si>
    <t>AC1A423</t>
  </si>
  <si>
    <t>Akuntansi Forensik Dan Pemeriksaan Keuangan</t>
  </si>
  <si>
    <t>FE1SB03</t>
  </si>
  <si>
    <t>FE1MM03</t>
  </si>
  <si>
    <t>SE1QH33</t>
  </si>
  <si>
    <t xml:space="preserve">Al Qur'an &amp; Hadist Ekonomi </t>
  </si>
  <si>
    <t>SE1LK03</t>
  </si>
  <si>
    <t>SE1AS33</t>
  </si>
  <si>
    <t>SE1UF03</t>
  </si>
  <si>
    <t>FE1MD03</t>
  </si>
  <si>
    <t>MSDM</t>
  </si>
  <si>
    <t>SE1EK03</t>
  </si>
  <si>
    <t>SE1PB03</t>
  </si>
  <si>
    <t>Proyek Penciptaan Bisnis (PPB)</t>
  </si>
  <si>
    <t>SE1BI03</t>
  </si>
  <si>
    <t>SE1SS03</t>
  </si>
  <si>
    <t>Selling and Service Skills (Keterampilan Pelayanan dan Penjualan)</t>
  </si>
  <si>
    <t>SE1MB03</t>
  </si>
  <si>
    <t>SE1IG03</t>
  </si>
  <si>
    <t>Islamic Corporate Governance &amp; CSR</t>
  </si>
  <si>
    <t>SE1SP43</t>
  </si>
  <si>
    <t>KALKULUS 1</t>
  </si>
  <si>
    <t>FISIKA 1</t>
  </si>
  <si>
    <t>KIMIA DASAR</t>
  </si>
  <si>
    <t>MENGGAMBAR TEKNIK</t>
  </si>
  <si>
    <t>PEMROGRAMAN KOMPUTER</t>
  </si>
  <si>
    <t>PENGANTAR REKAYASA</t>
  </si>
  <si>
    <t>MATEMATIKA TEKNIK</t>
  </si>
  <si>
    <t>STATISTIKA</t>
  </si>
  <si>
    <t>TERMODINAMIKA</t>
  </si>
  <si>
    <t>EM11313</t>
  </si>
  <si>
    <t>PROSES MANUFAKTUR</t>
  </si>
  <si>
    <t>ELEMEN MESIN</t>
  </si>
  <si>
    <t>PENGANTAR EKONOMI</t>
  </si>
  <si>
    <t>GS1CZ02</t>
  </si>
  <si>
    <t>PANCASILA DAN KEWARGANEGARAAN</t>
  </si>
  <si>
    <t>PERPINDAHAN PANAS</t>
  </si>
  <si>
    <t>SISTEM INSTRUMENTASI INDUSTRI</t>
  </si>
  <si>
    <t>EKONOMI TEKNIK</t>
  </si>
  <si>
    <t>MANAJEMEN TEKNOLOGI</t>
  </si>
  <si>
    <t>MANAJEMEN PROYEK</t>
  </si>
  <si>
    <t>RISET PEMASARAN</t>
  </si>
  <si>
    <t xml:space="preserve">PEMBIAYAAN PROYEK </t>
  </si>
  <si>
    <t>ANALISA KELAYAKAN</t>
  </si>
  <si>
    <t>KEANDALAN &amp;KUALITAS</t>
  </si>
  <si>
    <t>K3</t>
  </si>
  <si>
    <t>TRIZ</t>
  </si>
  <si>
    <t>Sistem Pendingin</t>
  </si>
  <si>
    <t>LE1MA02</t>
  </si>
  <si>
    <t>Logika Pemograman</t>
  </si>
  <si>
    <t>LE1MB02</t>
  </si>
  <si>
    <t>LE1MD03</t>
  </si>
  <si>
    <t>LE1ME03</t>
  </si>
  <si>
    <t>LE1MK12</t>
  </si>
  <si>
    <t>LE1ML13</t>
  </si>
  <si>
    <t>Statistik Industri II</t>
  </si>
  <si>
    <t>LE1MM13</t>
  </si>
  <si>
    <t>Riset Operasi II</t>
  </si>
  <si>
    <t>LE1MN13</t>
  </si>
  <si>
    <t>LE1BC13</t>
  </si>
  <si>
    <t>Manajemen Organisasi dan Sumber Daya Manusia</t>
  </si>
  <si>
    <t>Penanganan Material dan Pengemasan</t>
  </si>
  <si>
    <t>LE1MP12</t>
  </si>
  <si>
    <t>Manajemen Risiko dan Kinerja</t>
  </si>
  <si>
    <t>LE1AI13</t>
  </si>
  <si>
    <t>Kesehatan dan Keselamatan Kerja</t>
  </si>
  <si>
    <t>LE1AM23</t>
  </si>
  <si>
    <t>Metode Metaheuristik</t>
  </si>
  <si>
    <t>Entreprise Resource Planning</t>
  </si>
  <si>
    <t>Fisika Dasar 1*</t>
  </si>
  <si>
    <t>Kimia Dasar *</t>
  </si>
  <si>
    <t>Kimia Fisika*</t>
  </si>
  <si>
    <t>Kimia Organik 1*</t>
  </si>
  <si>
    <t>Komputasi Numerik Terapan*</t>
  </si>
  <si>
    <t>Pilihan Keahlian 3 : Manajemen Proyek</t>
  </si>
  <si>
    <t>AE1G223</t>
  </si>
  <si>
    <t>AE1G113</t>
  </si>
  <si>
    <t>AE1T113</t>
  </si>
  <si>
    <t>Mesin dan Peralatan Industri</t>
  </si>
  <si>
    <t>AE1T124</t>
  </si>
  <si>
    <t>AE1G213</t>
  </si>
  <si>
    <t>AE1G103</t>
  </si>
  <si>
    <t>Tata Cara Kerja dan Ergonomi</t>
  </si>
  <si>
    <t>AE1T323</t>
  </si>
  <si>
    <t>Perencanaan dan Pengendalian Produksi</t>
  </si>
  <si>
    <t>AE1T423</t>
  </si>
  <si>
    <t>Teknologi Pengemasan dan Pengawetan+1</t>
  </si>
  <si>
    <t>AE1T523</t>
  </si>
  <si>
    <t>AE1M123</t>
  </si>
  <si>
    <t>GS1IH02</t>
  </si>
  <si>
    <t>AE1G723</t>
  </si>
  <si>
    <t>AE1M323</t>
  </si>
  <si>
    <t>AE1M112</t>
  </si>
  <si>
    <t>AE7M253</t>
  </si>
  <si>
    <t>Analisa Produktivitas (pilihan)</t>
  </si>
  <si>
    <t>AE7T253</t>
  </si>
  <si>
    <t>Manajemen Teknologi (pilihan)</t>
  </si>
  <si>
    <t>Manajemen Pemasaran (pilihan)</t>
  </si>
  <si>
    <t>Algoritma dan Struktur Data</t>
  </si>
  <si>
    <t>Grafika Komputer dan Pengolahan Citra</t>
  </si>
  <si>
    <t>Keamanan Informasi dan Jaringan</t>
  </si>
  <si>
    <t>Kuliah Kerja Nyata</t>
  </si>
  <si>
    <t>IF16553</t>
  </si>
  <si>
    <t>Desain dan Manajemen Jaringan</t>
  </si>
  <si>
    <t>IF13653</t>
  </si>
  <si>
    <t>Komputasi Biomedik</t>
  </si>
  <si>
    <t>IF12753</t>
  </si>
  <si>
    <t>Pemrograman Mobile</t>
  </si>
  <si>
    <t>PENGANTAR TEKNOLOGI INFORMASI</t>
  </si>
  <si>
    <t>ALJABAR LINIER</t>
  </si>
  <si>
    <t>KALKULUS</t>
  </si>
  <si>
    <t>PENGANTAR SISTEM INFORMASI</t>
  </si>
  <si>
    <t>MATEMATIKA DISKRIT</t>
  </si>
  <si>
    <t>PEMROGRAMAN TERSTRUKTUR</t>
  </si>
  <si>
    <t>BASIS DATA</t>
  </si>
  <si>
    <t>REKAYASA KEBUTUHAN PERANGKAT LUNAK</t>
  </si>
  <si>
    <t>ANALISIS DAN DESAIN PROSES BISNIS</t>
  </si>
  <si>
    <t>KEAMANAN ASET INFORMASI</t>
  </si>
  <si>
    <t>PEMROGRAMAN WEB</t>
  </si>
  <si>
    <t>MANAJEMEN HUBUNGAN PELANGGAN</t>
  </si>
  <si>
    <t>SISTEM PENDUKUNG KEPUTUSAN</t>
  </si>
  <si>
    <t>PERANCANGAN E-BUSINESS</t>
  </si>
  <si>
    <t>MANAJEMEN RANTAI PASOK</t>
  </si>
  <si>
    <t>TATA KELOLA TI</t>
  </si>
  <si>
    <t>MANAJEMEN PROYEK TI</t>
  </si>
  <si>
    <t>PERENCANAAN KEBERLANJUTAN BISNIS</t>
  </si>
  <si>
    <t>PERENCANAAN STRATEGIS SISTEM INFORMASI</t>
  </si>
  <si>
    <t>PENGUKURAN KINERJA TI</t>
  </si>
  <si>
    <t>SIMULASI TATA KELOLA DAN AUDIT TI</t>
  </si>
  <si>
    <t>SIMULASI PROYEK TI</t>
  </si>
  <si>
    <t>MANAJEMEN PROSES BISNIS</t>
  </si>
  <si>
    <t>IS1A353</t>
  </si>
  <si>
    <t>PENGUJIAN PERANGKAT LUNAK</t>
  </si>
  <si>
    <r>
      <rPr>
        <sz val="11"/>
        <color theme="1"/>
        <rFont val="Calibri"/>
        <family val="2"/>
        <scheme val="minor"/>
      </rPr>
      <t xml:space="preserve">Gambar Bentuk - </t>
    </r>
    <r>
      <rPr>
        <i/>
        <sz val="12"/>
        <color indexed="8"/>
        <rFont val="Calibri"/>
        <family val="2"/>
      </rPr>
      <t>Still Life</t>
    </r>
  </si>
  <si>
    <t>Berpikir Kreatif dan Sistemik</t>
  </si>
  <si>
    <t>Pengantar DKV</t>
  </si>
  <si>
    <t>Kewarganegaraan</t>
  </si>
  <si>
    <t>Interaksi Manusia dan Komputer</t>
  </si>
  <si>
    <t xml:space="preserve">DKV I Sign Pictogram </t>
  </si>
  <si>
    <t>DKV I Sign System</t>
  </si>
  <si>
    <t>VD1DC13</t>
  </si>
  <si>
    <t>DKV III (City Branding)</t>
  </si>
  <si>
    <t>VD1DB13</t>
  </si>
  <si>
    <t>DKV III (Corporate Branding)</t>
  </si>
  <si>
    <t>Ilustrasi fashion</t>
  </si>
  <si>
    <t>Seminar dan Metodologi Penelitian</t>
  </si>
  <si>
    <t>VD1PA06</t>
  </si>
  <si>
    <t>Skripsi / Proyek Akhir</t>
  </si>
  <si>
    <t>VD1UI53</t>
  </si>
  <si>
    <t>VD8TV53</t>
  </si>
  <si>
    <t>Workshop TVC</t>
  </si>
  <si>
    <t>MG-A</t>
  </si>
  <si>
    <t>Kharis</t>
  </si>
  <si>
    <t>Bu Wawan LB</t>
  </si>
  <si>
    <t>MG-B</t>
  </si>
  <si>
    <t>Univ</t>
  </si>
  <si>
    <t>Wawasan lingkungan</t>
  </si>
  <si>
    <t>Fathoni</t>
  </si>
  <si>
    <t>Kelas Besar (Aula - Merger dan bobot kuliah tidak terlalu berat)</t>
  </si>
  <si>
    <t>Kartika</t>
  </si>
  <si>
    <t>-</t>
  </si>
  <si>
    <t>1</t>
  </si>
  <si>
    <t>MAR/YIR</t>
  </si>
  <si>
    <t>QAN/NWF</t>
  </si>
  <si>
    <t>FAP/EFN</t>
  </si>
  <si>
    <t>NCS/UAG</t>
  </si>
  <si>
    <t>IAC/IWM</t>
  </si>
  <si>
    <t>1.5</t>
  </si>
  <si>
    <t>2</t>
  </si>
  <si>
    <t>Putri Aksi</t>
  </si>
  <si>
    <t>1 kelas 
(38 mahasiswa)</t>
  </si>
  <si>
    <t>2 kelas (58 mahasiswa)</t>
  </si>
  <si>
    <t>1 kelas (40 mahasiswa)</t>
  </si>
  <si>
    <t>TTN</t>
  </si>
  <si>
    <t>ADK</t>
  </si>
  <si>
    <t>Pilihan Keahlian 2 : Nanoteknologi</t>
  </si>
  <si>
    <t>TIP</t>
  </si>
  <si>
    <t>NWF/LRS</t>
  </si>
  <si>
    <t>YIR/BMR/TQB</t>
  </si>
  <si>
    <t>Informatika</t>
  </si>
  <si>
    <t>LAB</t>
  </si>
  <si>
    <t>semester 7 buka 1 kelas saja</t>
  </si>
  <si>
    <t>perlu dicari dosennya (opsi tetap pak Ilmanza kalau bersedia)</t>
  </si>
  <si>
    <t>IF-6A</t>
  </si>
  <si>
    <t>SI-3A, SI-3B</t>
  </si>
  <si>
    <t>Andi</t>
  </si>
  <si>
    <t>SI-7A, SI-7B</t>
  </si>
  <si>
    <t>Lukman</t>
  </si>
  <si>
    <t>SI-A</t>
  </si>
  <si>
    <t>SI-7B</t>
  </si>
  <si>
    <t>DKV</t>
  </si>
  <si>
    <t>RHY/ARH/IRA</t>
  </si>
  <si>
    <t>DKV-7B</t>
  </si>
  <si>
    <t>DKV-A</t>
  </si>
  <si>
    <t>A</t>
  </si>
  <si>
    <t>B</t>
  </si>
  <si>
    <t>Kode</t>
  </si>
  <si>
    <t>1 kelas</t>
  </si>
  <si>
    <t>Aula A</t>
  </si>
  <si>
    <t>C101</t>
  </si>
  <si>
    <t>C102</t>
  </si>
  <si>
    <t>G3.R1, G3.R3, G3.R4, G3.R5, G3.R6, G4.R1, G4.R2, G4.R3, G4.R4, Coal Mill 101, Coal Mill 102, Coal Mill 103, Coal Mill 201, Coal Mill 202, Coal Mill 203, Coal Mill 204, Coal Mill 205, Coal Mill 206, Coal Mill 207, Coal Mill 208, Coal Mill 301, Coal Mill 302, C101, C102</t>
  </si>
  <si>
    <t>Lab 1, Lab 2, Limestone</t>
  </si>
  <si>
    <t>Lab Pemrograman</t>
  </si>
  <si>
    <t>Lab ERP</t>
  </si>
  <si>
    <t>Lab Audio Visual</t>
  </si>
  <si>
    <t>Lab Pengembangan bisnis</t>
  </si>
  <si>
    <t>Coalmill 101, Coalmill 102</t>
  </si>
  <si>
    <t xml:space="preserve">Auditorium </t>
  </si>
  <si>
    <t>AK-3A, AK-3B</t>
  </si>
  <si>
    <t>C</t>
  </si>
  <si>
    <t>D</t>
  </si>
  <si>
    <t>E</t>
  </si>
  <si>
    <t>F</t>
  </si>
  <si>
    <t>G</t>
  </si>
  <si>
    <t>G3.R2, G4.R1, G4.R2</t>
  </si>
  <si>
    <t>H</t>
  </si>
  <si>
    <t>I</t>
  </si>
  <si>
    <t>GS1CZ03</t>
  </si>
  <si>
    <t>Pancasila dan Kewarganegaraan</t>
  </si>
  <si>
    <t>Dr. Achmad Dwitama Karisma, S.T., M.T.</t>
  </si>
  <si>
    <t>Kukuh Yudha Karnanta, S.S, M.A.</t>
  </si>
  <si>
    <t>Lolita</t>
  </si>
  <si>
    <t>Kampus C Gedung 1 Lantai 1 Ruang 1</t>
  </si>
  <si>
    <t>Kampus C Gedung 1 Lantai 1 Ruang 2</t>
  </si>
  <si>
    <t>C.101, C.102</t>
  </si>
  <si>
    <t>G3.R1, G3.R3, G3.R4, G3.R5, G3.R6, G4.R1, G4.R2, G4.R3, G4.R4, Coal Mill 101, Coal Mill 102, Coal Mill 103, Coal Mill 201, Coal Mill 202, Coal Mill 203, Coal Mill 204, Coal Mill 205, Coal Mill 206, Coal Mill 207, Coal Mill 208, Coal Mill 301, Coal Mill 302</t>
  </si>
  <si>
    <t>GS1II03</t>
  </si>
  <si>
    <t>GS1II04</t>
  </si>
  <si>
    <t>GS1II05</t>
  </si>
  <si>
    <t>GS1II06</t>
  </si>
  <si>
    <t>GS1II07</t>
  </si>
  <si>
    <t>GS1II08</t>
  </si>
  <si>
    <t>GS1II09</t>
  </si>
  <si>
    <t>GS1II10</t>
  </si>
  <si>
    <t>Dyah Satiti, S.TP., M.T.</t>
  </si>
  <si>
    <t>Anni Rahmat, S.T., M.T.</t>
  </si>
  <si>
    <t>Fitri Romadhon, S.A., M.Sc.</t>
  </si>
  <si>
    <t>Elsi Mersilia Hanesti, S.EI., M.SEI.</t>
  </si>
  <si>
    <t>Husnunnida Maharani, S.E., M.S.A.</t>
  </si>
  <si>
    <t>Ngatini, S.Si., M.Si.</t>
  </si>
  <si>
    <t>Yunita Siti Mardhiyyah, S.TP., M.Si.</t>
  </si>
  <si>
    <t>Kampus A Gedung 2 Lantai 2</t>
  </si>
  <si>
    <t>G4.R1, G4.R2</t>
  </si>
  <si>
    <t>EM12153</t>
  </si>
  <si>
    <t>MG1K453</t>
  </si>
  <si>
    <t>TK-5A, TK-5B</t>
  </si>
  <si>
    <t>ASA</t>
  </si>
  <si>
    <t>ASB</t>
  </si>
  <si>
    <t>ASC</t>
  </si>
  <si>
    <t>ASD</t>
  </si>
  <si>
    <t>ASE</t>
  </si>
  <si>
    <t>ASF</t>
  </si>
  <si>
    <t>ASG</t>
  </si>
  <si>
    <t>ASH</t>
  </si>
  <si>
    <t>ASI</t>
  </si>
  <si>
    <t>ASJ</t>
  </si>
  <si>
    <t>ASK</t>
  </si>
  <si>
    <t>ASL</t>
  </si>
  <si>
    <t>ASM</t>
  </si>
  <si>
    <t>Asisten FD MR</t>
  </si>
  <si>
    <t>Asisten KD MR</t>
  </si>
  <si>
    <t>Asisten FD TL</t>
  </si>
  <si>
    <t>Asisten FD TK</t>
  </si>
  <si>
    <t>Asisten KD TK</t>
  </si>
  <si>
    <t>Asisten KO 1</t>
  </si>
  <si>
    <t>Asisten KO 2</t>
  </si>
  <si>
    <t>Asisten KF 1</t>
  </si>
  <si>
    <t>Asisten KF 2</t>
  </si>
  <si>
    <t>Asisten KNT A</t>
  </si>
  <si>
    <t>Asisten KNT B</t>
  </si>
  <si>
    <t>Asisten Lab TK 1 A</t>
  </si>
  <si>
    <t>Asisten Lab TK 1 B</t>
  </si>
  <si>
    <t>ASN</t>
  </si>
  <si>
    <t>ASO</t>
  </si>
  <si>
    <t>Asisten FD TIP</t>
  </si>
  <si>
    <t>Asisten KD TIP</t>
  </si>
  <si>
    <t>Lab Fundamental</t>
  </si>
  <si>
    <t>FA1A303*</t>
  </si>
  <si>
    <t>Praktikum Fisika Dasar</t>
  </si>
  <si>
    <t>FA1A403*</t>
  </si>
  <si>
    <t>Praktikum Kimia Dasar</t>
  </si>
  <si>
    <t>LE1MD03*</t>
  </si>
  <si>
    <t>3</t>
  </si>
  <si>
    <t>AE1S103*</t>
  </si>
  <si>
    <t xml:space="preserve">Praktikum Fisika Dasar </t>
  </si>
  <si>
    <t xml:space="preserve">Praktikum Kimia Dasar </t>
  </si>
  <si>
    <t>CE1F113*</t>
  </si>
  <si>
    <t>Praktikum Kimia Organik 1 (1)</t>
  </si>
  <si>
    <t>Praktikum Kimia Organik 1 (2)</t>
  </si>
  <si>
    <t>Lab Fundamental, Lab Bahan</t>
  </si>
  <si>
    <t>CE1C123*</t>
  </si>
  <si>
    <t>Praktikum Kimia Fisika (1)</t>
  </si>
  <si>
    <t>Praktikum Kimia Fisika (2)</t>
  </si>
  <si>
    <t>CE1D333*</t>
  </si>
  <si>
    <t xml:space="preserve">Praktikum KNT </t>
  </si>
  <si>
    <t>Lab Bahan</t>
  </si>
  <si>
    <t>Lab POTK</t>
  </si>
  <si>
    <t>Lab Proses dan Operasi Teknik Kimia</t>
  </si>
  <si>
    <t>Lab Analisa Bahan</t>
  </si>
  <si>
    <t>CE1E202*</t>
  </si>
  <si>
    <t>Praktikum Lab Teknik Kimia 1</t>
  </si>
  <si>
    <t>AE1T423*</t>
  </si>
  <si>
    <t>Praktikum TPP</t>
  </si>
  <si>
    <t>ASP</t>
  </si>
  <si>
    <t xml:space="preserve">Asisten TPP </t>
  </si>
  <si>
    <t>AE1T124*</t>
  </si>
  <si>
    <t>Praktikum PBAI</t>
  </si>
  <si>
    <t>ASQ</t>
  </si>
  <si>
    <t>Asisten PBAI</t>
  </si>
  <si>
    <t>s</t>
  </si>
  <si>
    <t>Asisten TPP</t>
  </si>
  <si>
    <t>Tugas Pra Desain Pabrik</t>
  </si>
  <si>
    <t>3 SKS saja</t>
  </si>
  <si>
    <t>ES</t>
  </si>
  <si>
    <t>AK</t>
  </si>
  <si>
    <t>MG</t>
  </si>
  <si>
    <t>TK</t>
  </si>
  <si>
    <t>SI</t>
  </si>
  <si>
    <t>IF</t>
  </si>
  <si>
    <t>MR</t>
  </si>
  <si>
    <t>TL</t>
  </si>
  <si>
    <t>DOSEN</t>
  </si>
  <si>
    <t>G3.R1, G3.R3, G3.R4, G3.R5, G3.R6, G4.R3, G4.R4, Coal Mill 101, Coal Mill 102, Coal Mill 103, Coal Mill 201, Coal Mill 202, Coal Mill 203, Coal Mill 204, Coal Mill 205, Coal Mill 206, Coal Mill 207, Coal Mill 208, Coal Mill 301, Coal Mill 302</t>
  </si>
  <si>
    <t>All</t>
  </si>
  <si>
    <t>Besar</t>
  </si>
  <si>
    <t>Kampus C</t>
  </si>
  <si>
    <t>Lab</t>
  </si>
  <si>
    <t>Gambar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</si>
</sst>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1"/>
      <color theme="1"/>
      <name val="Calibri"/>
      <family val="2"/>
    </font>
    <font>
      <sz val="11"/>
      <color rgb="FF000000"/>
      <name val="Calibri"/>
      <family val="2"/>
      <scheme val="minor"/>
    </font>
    <font>
      <sz val="11"/>
      <color theme="1"/>
      <name val="Calibri"/>
      <family val="2"/>
      <charset val="1"/>
      <scheme val="minor"/>
    </font>
    <font>
      <sz val="10"/>
      <name val="Trebuchet MS"/>
      <family val="2"/>
    </font>
    <font>
      <sz val="10"/>
      <color theme="1"/>
      <name val="Tahoma"/>
      <family val="2"/>
    </font>
    <font>
      <sz val="10"/>
      <name val="Tahoma"/>
      <family val="2"/>
    </font>
    <font>
      <sz val="11"/>
      <color theme="1"/>
      <name val="Calibri"/>
      <family val="2"/>
    </font>
    <font>
      <sz val="10"/>
      <color rgb="FF000000"/>
      <name val="Arial"/>
      <family val="2"/>
    </font>
    <font>
      <sz val="11"/>
      <name val="Calibri"/>
      <family val="2"/>
      <scheme val="minor"/>
    </font>
    <font>
      <i/>
      <sz val="11"/>
      <color rgb="FFFF0000"/>
      <name val="Calibri"/>
      <family val="2"/>
      <scheme val="minor"/>
    </font>
    <font>
      <sz val="11"/>
      <color rgb="FF000000"/>
      <name val="Calibri"/>
      <family val="2"/>
    </font>
    <font>
      <sz val="11"/>
      <color rgb="FF000000"/>
      <name val="Calibri"/>
      <family val="2"/>
      <scheme val="minor"/>
    </font>
    <font>
      <sz val="10"/>
      <color rgb="FF000000"/>
      <name val="Times New Roman"/>
      <family val="1"/>
    </font>
    <font>
      <b/>
      <sz val="9"/>
      <name val="Tahoma"/>
      <family val="2"/>
    </font>
    <font>
      <sz val="9"/>
      <name val="Tahoma"/>
      <family val="2"/>
    </font>
    <font>
      <i/>
      <sz val="12"/>
      <color indexed="8"/>
      <name val="Calibri"/>
      <family val="2"/>
    </font>
    <font>
      <sz val="12"/>
      <name val="Calibri"/>
      <family val="2"/>
      <scheme val="minor"/>
    </font>
    <font>
      <sz val="11"/>
      <color theme="1"/>
      <name val="Arial"/>
      <family val="2"/>
    </font>
    <font>
      <sz val="11"/>
      <color theme="1"/>
      <name val="Cambria"/>
      <family val="1"/>
    </font>
    <font>
      <sz val="11"/>
      <color theme="1"/>
      <name val="Calibri"/>
      <family val="2"/>
      <scheme val="minor"/>
    </font>
    <font>
      <b/>
      <sz val="11"/>
      <color theme="1"/>
      <name val="Calibri"/>
      <family val="2"/>
    </font>
    <font>
      <sz val="10"/>
      <color theme="1"/>
      <name val="Arial Narrow"/>
      <family val="2"/>
    </font>
    <font>
      <sz val="10"/>
      <name val="Tahoma"/>
      <family val="2"/>
    </font>
  </fonts>
  <fills count="9">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8" tint="0.39997558519241921"/>
        <bgColor indexed="64"/>
      </patternFill>
    </fill>
    <fill>
      <patternFill patternType="solid">
        <fgColor theme="5" tint="0.3999450666829432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theme="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theme="1"/>
      </top>
      <bottom/>
      <diagonal/>
    </border>
    <border>
      <left style="thin">
        <color theme="1"/>
      </left>
      <right style="thin">
        <color auto="1"/>
      </right>
      <top/>
      <bottom/>
      <diagonal/>
    </border>
  </borders>
  <cellStyleXfs count="4">
    <xf numFmtId="0" fontId="0" fillId="0" borderId="0"/>
    <xf numFmtId="9" fontId="4" fillId="0" borderId="0" applyFont="0" applyFill="0" applyBorder="0" applyAlignment="0" applyProtection="0"/>
    <xf numFmtId="0" fontId="4" fillId="0" borderId="0"/>
    <xf numFmtId="0" fontId="7" fillId="0" borderId="0"/>
  </cellStyleXfs>
  <cellXfs count="105">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3" borderId="1" xfId="0" applyFill="1" applyBorder="1" applyAlignment="1">
      <alignment horizontal="center" vertical="center"/>
    </xf>
    <xf numFmtId="0" fontId="0" fillId="0" borderId="1" xfId="0" applyBorder="1"/>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8" fillId="0" borderId="1" xfId="3" applyFont="1" applyBorder="1"/>
    <xf numFmtId="0" fontId="0" fillId="0" borderId="1" xfId="0" applyBorder="1" applyAlignment="1">
      <alignment horizontal="center" vertical="center"/>
    </xf>
    <xf numFmtId="0" fontId="3" fillId="0" borderId="1" xfId="0" applyFont="1" applyBorder="1" applyAlignment="1">
      <alignment vertical="center"/>
    </xf>
    <xf numFmtId="0" fontId="6" fillId="0" borderId="1" xfId="0" applyFont="1" applyBorder="1"/>
    <xf numFmtId="0" fontId="3" fillId="0" borderId="1" xfId="0" applyFont="1" applyBorder="1" applyAlignment="1">
      <alignment horizontal="center" vertical="center"/>
    </xf>
    <xf numFmtId="0" fontId="3" fillId="0" borderId="1" xfId="0" applyFont="1" applyBorder="1"/>
    <xf numFmtId="0" fontId="8" fillId="5" borderId="1" xfId="3" applyFont="1" applyFill="1" applyBorder="1"/>
    <xf numFmtId="0" fontId="8" fillId="0" borderId="1" xfId="3" applyFont="1" applyBorder="1" applyAlignment="1">
      <alignment horizontal="center"/>
    </xf>
    <xf numFmtId="0" fontId="0" fillId="0" borderId="1" xfId="0" applyBorder="1" applyAlignment="1">
      <alignment horizontal="center" wrapText="1"/>
    </xf>
    <xf numFmtId="0" fontId="3" fillId="0" borderId="1" xfId="0" applyFont="1" applyBorder="1" applyAlignment="1">
      <alignment horizontal="left" vertical="center" wrapText="1"/>
    </xf>
    <xf numFmtId="0" fontId="6" fillId="0" borderId="1" xfId="0" applyFont="1" applyBorder="1" applyAlignment="1">
      <alignment horizontal="justify" vertical="center" wrapText="1"/>
    </xf>
    <xf numFmtId="0" fontId="0" fillId="5" borderId="1" xfId="0" applyFill="1" applyBorder="1"/>
    <xf numFmtId="0" fontId="0" fillId="0" borderId="1" xfId="0" applyBorder="1" applyAlignment="1">
      <alignment vertical="center"/>
    </xf>
    <xf numFmtId="0" fontId="6" fillId="0" borderId="1"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2" fillId="6" borderId="2" xfId="0" applyFont="1" applyFill="1" applyBorder="1" applyAlignment="1">
      <alignment horizontal="center" vertical="center"/>
    </xf>
    <xf numFmtId="9" fontId="5" fillId="4" borderId="1" xfId="1" applyFont="1" applyFill="1" applyBorder="1" applyAlignment="1">
      <alignment horizontal="center" vertical="center"/>
    </xf>
    <xf numFmtId="0" fontId="2" fillId="4" borderId="1" xfId="0" applyFont="1" applyFill="1" applyBorder="1" applyAlignment="1">
      <alignment horizontal="center" vertical="center" wrapText="1"/>
    </xf>
    <xf numFmtId="0" fontId="0" fillId="4" borderId="1" xfId="0" applyFill="1" applyBorder="1"/>
    <xf numFmtId="0" fontId="3" fillId="0" borderId="1" xfId="2" applyFont="1" applyBorder="1" applyAlignment="1">
      <alignment vertical="center"/>
    </xf>
    <xf numFmtId="0" fontId="3" fillId="0" borderId="1" xfId="0" applyFont="1" applyBorder="1" applyAlignment="1">
      <alignment horizontal="left" vertical="center"/>
    </xf>
    <xf numFmtId="0" fontId="0" fillId="0" borderId="1" xfId="2" applyFont="1" applyBorder="1" applyAlignment="1">
      <alignment vertical="center"/>
    </xf>
    <xf numFmtId="0" fontId="0" fillId="5" borderId="1" xfId="0" applyFill="1" applyBorder="1" applyAlignment="1">
      <alignment horizontal="center" vertical="center"/>
    </xf>
    <xf numFmtId="0" fontId="3" fillId="5" borderId="1" xfId="2" applyFont="1" applyFill="1" applyBorder="1" applyAlignment="1">
      <alignment vertical="center"/>
    </xf>
    <xf numFmtId="0" fontId="3" fillId="5" borderId="1" xfId="0" applyFont="1" applyFill="1" applyBorder="1" applyAlignment="1">
      <alignment horizontal="left" vertical="center"/>
    </xf>
    <xf numFmtId="9" fontId="0" fillId="0" borderId="0" xfId="1" applyFont="1" applyAlignment="1">
      <alignment horizontal="left" vertical="center"/>
    </xf>
    <xf numFmtId="0" fontId="0" fillId="0" borderId="0" xfId="0" applyAlignment="1">
      <alignment vertical="center"/>
    </xf>
    <xf numFmtId="0" fontId="9" fillId="0" borderId="3" xfId="0" applyFont="1" applyBorder="1"/>
    <xf numFmtId="0" fontId="10" fillId="0" borderId="1" xfId="0" applyFont="1" applyBorder="1" applyAlignment="1">
      <alignment vertical="center"/>
    </xf>
    <xf numFmtId="0" fontId="9" fillId="0" borderId="1" xfId="0" applyFont="1" applyBorder="1" applyAlignment="1">
      <alignment vertical="center"/>
    </xf>
    <xf numFmtId="0" fontId="11" fillId="0" borderId="3" xfId="0" applyFont="1" applyBorder="1" applyAlignment="1">
      <alignment horizontal="left"/>
    </xf>
    <xf numFmtId="0" fontId="10" fillId="0" borderId="3" xfId="0" applyFont="1" applyBorder="1"/>
    <xf numFmtId="0" fontId="10" fillId="0" borderId="1" xfId="0" applyFont="1" applyBorder="1"/>
    <xf numFmtId="0" fontId="12" fillId="0" borderId="1" xfId="0" applyFont="1" applyBorder="1" applyAlignment="1">
      <alignment vertical="center" wrapText="1"/>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left" vertical="center"/>
      <protection locked="0"/>
    </xf>
    <xf numFmtId="0" fontId="13"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3" fillId="0" borderId="1" xfId="0" applyFont="1" applyBorder="1" applyAlignment="1">
      <alignment horizontal="center"/>
    </xf>
    <xf numFmtId="0" fontId="16" fillId="0" borderId="1" xfId="0" applyFont="1" applyBorder="1" applyAlignment="1">
      <alignment horizontal="center"/>
    </xf>
    <xf numFmtId="0" fontId="21"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vertical="center"/>
    </xf>
    <xf numFmtId="0" fontId="13" fillId="0" borderId="1" xfId="0" applyFont="1" applyBorder="1" applyAlignment="1">
      <alignment vertical="top"/>
    </xf>
    <xf numFmtId="0" fontId="23" fillId="0" borderId="1" xfId="0" applyFont="1" applyBorder="1"/>
    <xf numFmtId="0" fontId="0" fillId="0" borderId="5" xfId="0" applyBorder="1"/>
    <xf numFmtId="0" fontId="13" fillId="0" borderId="0" xfId="0" applyFont="1" applyAlignment="1">
      <alignment vertical="center"/>
    </xf>
    <xf numFmtId="0" fontId="14" fillId="0" borderId="1" xfId="0" applyFont="1" applyBorder="1"/>
    <xf numFmtId="0" fontId="15" fillId="0" borderId="1" xfId="0" applyFont="1" applyBorder="1" applyAlignment="1">
      <alignment horizontal="center"/>
    </xf>
    <xf numFmtId="0" fontId="0" fillId="0" borderId="1" xfId="0" applyBorder="1" applyAlignment="1">
      <alignment vertical="center" wrapText="1"/>
    </xf>
    <xf numFmtId="0" fontId="16"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0" fillId="0" borderId="0" xfId="0" applyAlignment="1">
      <alignment vertical="center" wrapText="1"/>
    </xf>
    <xf numFmtId="0" fontId="13" fillId="0" borderId="1" xfId="3" applyFont="1" applyBorder="1" applyAlignment="1">
      <alignment horizontal="center"/>
    </xf>
    <xf numFmtId="0" fontId="0" fillId="0" borderId="1" xfId="0" applyBorder="1" applyAlignment="1">
      <alignment horizontal="left" vertical="center"/>
    </xf>
    <xf numFmtId="0" fontId="13" fillId="0" borderId="1" xfId="3" applyFont="1" applyBorder="1"/>
    <xf numFmtId="0" fontId="0" fillId="0" borderId="5" xfId="0" applyBorder="1" applyAlignment="1">
      <alignment horizontal="left" vertical="center"/>
    </xf>
    <xf numFmtId="0" fontId="24" fillId="0" borderId="1" xfId="0" applyFont="1" applyBorder="1" applyAlignment="1">
      <alignment vertical="center"/>
    </xf>
    <xf numFmtId="0" fontId="0" fillId="0" borderId="2" xfId="0" applyBorder="1"/>
    <xf numFmtId="0" fontId="13" fillId="0" borderId="1" xfId="0" applyFont="1" applyBorder="1"/>
    <xf numFmtId="0" fontId="22" fillId="0" borderId="1" xfId="0" applyFont="1" applyBorder="1" applyAlignment="1">
      <alignment horizontal="center"/>
    </xf>
    <xf numFmtId="0" fontId="0" fillId="0" borderId="4" xfId="0" applyBorder="1"/>
    <xf numFmtId="0" fontId="0" fillId="0" borderId="0" xfId="0" applyAlignment="1">
      <alignment horizontal="left"/>
    </xf>
    <xf numFmtId="9" fontId="25" fillId="4" borderId="1" xfId="1" applyFont="1" applyFill="1" applyBorder="1" applyAlignment="1">
      <alignment horizontal="center" vertical="center"/>
    </xf>
    <xf numFmtId="0" fontId="25" fillId="4" borderId="1" xfId="0" applyFont="1" applyFill="1" applyBorder="1" applyAlignment="1">
      <alignment horizontal="center" vertical="center" wrapText="1"/>
    </xf>
    <xf numFmtId="0" fontId="25" fillId="4" borderId="1" xfId="0" applyFont="1" applyFill="1" applyBorder="1" applyAlignment="1">
      <alignment horizontal="center" vertical="center"/>
    </xf>
    <xf numFmtId="0" fontId="25" fillId="4" borderId="1" xfId="0" applyFont="1" applyFill="1" applyBorder="1" applyAlignment="1">
      <alignment horizontal="left" vertical="center" wrapText="1"/>
    </xf>
    <xf numFmtId="0" fontId="25" fillId="4" borderId="5" xfId="0" applyFont="1" applyFill="1" applyBorder="1" applyAlignment="1">
      <alignment horizontal="center" vertical="center" wrapText="1"/>
    </xf>
    <xf numFmtId="0" fontId="25" fillId="7" borderId="1" xfId="0" applyFont="1" applyFill="1" applyBorder="1" applyAlignment="1">
      <alignment horizontal="center" vertical="center"/>
    </xf>
    <xf numFmtId="9" fontId="25" fillId="7" borderId="1" xfId="1" applyFont="1" applyFill="1" applyBorder="1" applyAlignment="1">
      <alignment horizontal="center" vertical="center" wrapText="1"/>
    </xf>
    <xf numFmtId="0" fontId="25" fillId="7" borderId="1" xfId="0" applyFont="1" applyFill="1" applyBorder="1" applyAlignment="1">
      <alignment horizontal="center" vertical="center" wrapText="1"/>
    </xf>
    <xf numFmtId="0" fontId="13" fillId="0" borderId="1" xfId="0" applyFont="1" applyBorder="1" applyAlignment="1">
      <alignment vertical="center" wrapText="1"/>
    </xf>
    <xf numFmtId="0" fontId="0" fillId="8" borderId="1" xfId="0" applyFill="1" applyBorder="1" applyAlignment="1">
      <alignment horizontal="center"/>
    </xf>
    <xf numFmtId="0" fontId="13" fillId="0" borderId="1" xfId="0" applyFont="1" applyBorder="1" applyAlignment="1">
      <alignment vertical="top" wrapText="1"/>
    </xf>
    <xf numFmtId="0" fontId="23" fillId="0" borderId="1" xfId="0" applyFont="1" applyBorder="1" applyAlignment="1">
      <alignment horizontal="center" vertical="center"/>
    </xf>
    <xf numFmtId="0" fontId="0" fillId="0" borderId="1" xfId="0" applyBorder="1" applyAlignment="1" applyProtection="1">
      <alignment horizontal="center"/>
      <protection locked="0"/>
    </xf>
    <xf numFmtId="0" fontId="14" fillId="8" borderId="1" xfId="0" applyFont="1" applyFill="1" applyBorder="1" applyAlignment="1">
      <alignment horizontal="center"/>
    </xf>
    <xf numFmtId="0" fontId="15" fillId="8" borderId="1" xfId="0" applyFont="1" applyFill="1" applyBorder="1" applyAlignment="1">
      <alignment horizontal="center"/>
    </xf>
    <xf numFmtId="0" fontId="0" fillId="8" borderId="1" xfId="0" applyFill="1" applyBorder="1" applyAlignment="1">
      <alignment horizontal="center" vertical="center"/>
    </xf>
    <xf numFmtId="0" fontId="17" fillId="8"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8" borderId="1" xfId="0" applyFont="1" applyFill="1" applyBorder="1" applyAlignment="1">
      <alignment horizontal="center" vertical="center"/>
    </xf>
    <xf numFmtId="0" fontId="16" fillId="8" borderId="1" xfId="0" applyFont="1" applyFill="1" applyBorder="1" applyAlignment="1">
      <alignment horizontal="center" vertical="center"/>
    </xf>
    <xf numFmtId="49" fontId="0" fillId="8" borderId="1" xfId="0" applyNumberFormat="1" applyFill="1" applyBorder="1" applyAlignment="1" applyProtection="1">
      <alignment horizontal="center" vertical="center"/>
      <protection locked="0"/>
    </xf>
    <xf numFmtId="0" fontId="13" fillId="8" borderId="1" xfId="3" applyFont="1" applyFill="1" applyBorder="1" applyAlignment="1">
      <alignment horizontal="center"/>
    </xf>
    <xf numFmtId="0" fontId="24" fillId="0" borderId="1" xfId="0" applyFont="1" applyBorder="1" applyAlignment="1">
      <alignment vertical="center" wrapText="1"/>
    </xf>
    <xf numFmtId="0" fontId="13" fillId="8" borderId="1" xfId="0" applyFont="1" applyFill="1" applyBorder="1" applyAlignment="1">
      <alignment horizontal="center"/>
    </xf>
    <xf numFmtId="0" fontId="21" fillId="8" borderId="1" xfId="0" applyFont="1" applyFill="1" applyBorder="1" applyAlignment="1">
      <alignment horizontal="center" vertical="center"/>
    </xf>
    <xf numFmtId="0" fontId="9" fillId="0" borderId="1" xfId="0" applyFont="1" applyBorder="1" applyAlignment="1">
      <alignment horizontal="center" vertical="center"/>
    </xf>
    <xf numFmtId="0" fontId="26" fillId="0" borderId="6" xfId="3" applyFont="1" applyBorder="1" applyAlignment="1">
      <alignment vertical="center"/>
    </xf>
    <xf numFmtId="0" fontId="27" fillId="0" borderId="1" xfId="0" applyFont="1" applyBorder="1" applyAlignment="1">
      <alignment vertical="center"/>
    </xf>
    <xf numFmtId="0" fontId="6" fillId="8" borderId="1" xfId="0" applyFont="1" applyFill="1" applyBorder="1" applyAlignment="1">
      <alignment horizontal="center" vertical="center"/>
    </xf>
    <xf numFmtId="0" fontId="13" fillId="5" borderId="1" xfId="3" applyFont="1" applyFill="1" applyBorder="1"/>
    <xf numFmtId="0" fontId="9" fillId="0" borderId="7" xfId="0" applyFont="1" applyBorder="1"/>
    <xf numFmtId="0" fontId="10" fillId="0" borderId="4" xfId="0" applyFont="1" applyBorder="1" applyAlignment="1">
      <alignment vertical="center"/>
    </xf>
  </cellXfs>
  <cellStyles count="4">
    <cellStyle name="Normal" xfId="0" builtinId="0"/>
    <cellStyle name="Normal 2" xfId="3" xr:uid="{00000000-0005-0000-0000-000001000000}"/>
    <cellStyle name="Normal 3" xfId="2" xr:uid="{00000000-0005-0000-0000-000002000000}"/>
    <cellStyle name="Percent" xfId="1" builtinId="5"/>
  </cellStyles>
  <dxfs count="6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ISI/Downloads/20190718%20Rekap%20All%20Beban%20Mengaja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My%20Drive\Akademik%202021\Jadwal\Jadwal%20Old\20190712%20Rekap%20All%20Beban%20Mengajar%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ban Mengajar"/>
      <sheetName val="Dosen"/>
    </sheetNames>
    <sheetDataSet>
      <sheetData sheetId="0" refreshError="1">
        <row r="2">
          <cell r="F2" t="str">
            <v>ANW</v>
          </cell>
        </row>
        <row r="3">
          <cell r="F3" t="str">
            <v>RRI</v>
          </cell>
        </row>
        <row r="4">
          <cell r="F4" t="str">
            <v>ANW</v>
          </cell>
        </row>
        <row r="5">
          <cell r="F5" t="str">
            <v>ANW</v>
          </cell>
        </row>
        <row r="6">
          <cell r="F6" t="str">
            <v>MDI</v>
          </cell>
        </row>
        <row r="7">
          <cell r="F7" t="str">
            <v>ALF</v>
          </cell>
        </row>
        <row r="8">
          <cell r="F8" t="str">
            <v>ALF</v>
          </cell>
        </row>
        <row r="9">
          <cell r="F9" t="str">
            <v>ALF</v>
          </cell>
        </row>
        <row r="10">
          <cell r="F10" t="str">
            <v>ANW</v>
          </cell>
        </row>
        <row r="11">
          <cell r="F11" t="str">
            <v>ALF</v>
          </cell>
        </row>
        <row r="12">
          <cell r="F12" t="str">
            <v>ALF</v>
          </cell>
        </row>
        <row r="13">
          <cell r="F13" t="str">
            <v>MAK</v>
          </cell>
        </row>
        <row r="14">
          <cell r="F14" t="str">
            <v>FRD</v>
          </cell>
        </row>
        <row r="15">
          <cell r="F15" t="str">
            <v>FRD</v>
          </cell>
        </row>
        <row r="16">
          <cell r="F16" t="str">
            <v>HNM</v>
          </cell>
        </row>
        <row r="17">
          <cell r="F17" t="str">
            <v>BMR</v>
          </cell>
        </row>
        <row r="18">
          <cell r="F18" t="str">
            <v>ELD</v>
          </cell>
        </row>
        <row r="19">
          <cell r="F19" t="str">
            <v>ADM</v>
          </cell>
        </row>
        <row r="20">
          <cell r="F20" t="str">
            <v>NEF</v>
          </cell>
        </row>
        <row r="21">
          <cell r="F21" t="str">
            <v>NEF</v>
          </cell>
        </row>
        <row r="22">
          <cell r="F22" t="str">
            <v>NEF</v>
          </cell>
        </row>
        <row r="23">
          <cell r="F23" t="str">
            <v>NEF</v>
          </cell>
        </row>
        <row r="24">
          <cell r="F24" t="str">
            <v>NEF</v>
          </cell>
        </row>
        <row r="25">
          <cell r="F25" t="str">
            <v>NEF</v>
          </cell>
        </row>
        <row r="26">
          <cell r="F26" t="str">
            <v>AHD</v>
          </cell>
        </row>
        <row r="27">
          <cell r="F27" t="str">
            <v>AHD</v>
          </cell>
        </row>
        <row r="28">
          <cell r="F28" t="str">
            <v>AHD</v>
          </cell>
        </row>
        <row r="31">
          <cell r="F31" t="str">
            <v>LEL</v>
          </cell>
        </row>
        <row r="32">
          <cell r="F32" t="str">
            <v>LEL</v>
          </cell>
        </row>
        <row r="33">
          <cell r="F33" t="str">
            <v>LRS</v>
          </cell>
        </row>
        <row r="34">
          <cell r="F34" t="str">
            <v>LRS</v>
          </cell>
        </row>
        <row r="35">
          <cell r="F35" t="str">
            <v>LRS</v>
          </cell>
        </row>
        <row r="36">
          <cell r="F36" t="str">
            <v>LRS</v>
          </cell>
        </row>
        <row r="37">
          <cell r="F37" t="str">
            <v>LRS</v>
          </cell>
        </row>
        <row r="38">
          <cell r="F38" t="str">
            <v>LRS</v>
          </cell>
        </row>
        <row r="39">
          <cell r="F39" t="str">
            <v>MAK</v>
          </cell>
        </row>
        <row r="40">
          <cell r="F40" t="str">
            <v>MMK</v>
          </cell>
        </row>
        <row r="41">
          <cell r="F41" t="str">
            <v>MMK</v>
          </cell>
        </row>
        <row r="42">
          <cell r="F42" t="str">
            <v>MMK</v>
          </cell>
        </row>
        <row r="43">
          <cell r="F43" t="str">
            <v>MMK</v>
          </cell>
        </row>
        <row r="44">
          <cell r="F44" t="str">
            <v>MMK</v>
          </cell>
        </row>
        <row r="45">
          <cell r="F45" t="str">
            <v>MDI</v>
          </cell>
        </row>
        <row r="46">
          <cell r="F46" t="str">
            <v>MDI</v>
          </cell>
        </row>
        <row r="47">
          <cell r="F47" t="str">
            <v>GTK</v>
          </cell>
        </row>
        <row r="48">
          <cell r="F48" t="str">
            <v>MDI</v>
          </cell>
        </row>
        <row r="49">
          <cell r="F49" t="str">
            <v>RNU</v>
          </cell>
        </row>
        <row r="50">
          <cell r="F50" t="str">
            <v>MDI</v>
          </cell>
        </row>
        <row r="51">
          <cell r="F51" t="str">
            <v>RNU</v>
          </cell>
        </row>
        <row r="52">
          <cell r="F52" t="str">
            <v>RNU</v>
          </cell>
        </row>
        <row r="53">
          <cell r="F53" t="str">
            <v>CHB</v>
          </cell>
        </row>
        <row r="54">
          <cell r="F54" t="str">
            <v>CHB</v>
          </cell>
        </row>
        <row r="55">
          <cell r="F55" t="str">
            <v>GTK</v>
          </cell>
        </row>
        <row r="56">
          <cell r="F56" t="str">
            <v>GTK</v>
          </cell>
        </row>
        <row r="57">
          <cell r="F57" t="str">
            <v>GTK</v>
          </cell>
        </row>
        <row r="58">
          <cell r="F58" t="str">
            <v>GTK</v>
          </cell>
        </row>
        <row r="59">
          <cell r="F59" t="str">
            <v>JSM</v>
          </cell>
        </row>
        <row r="60">
          <cell r="F60" t="str">
            <v>JSM</v>
          </cell>
        </row>
        <row r="61">
          <cell r="F61" t="str">
            <v>TSJ</v>
          </cell>
        </row>
        <row r="62">
          <cell r="F62" t="str">
            <v>RRI</v>
          </cell>
        </row>
        <row r="63">
          <cell r="F63" t="str">
            <v>RRI</v>
          </cell>
        </row>
        <row r="64">
          <cell r="F64" t="str">
            <v>RRI</v>
          </cell>
        </row>
        <row r="65">
          <cell r="F65" t="str">
            <v>RRI</v>
          </cell>
        </row>
        <row r="66">
          <cell r="F66" t="str">
            <v>SUW</v>
          </cell>
        </row>
        <row r="67">
          <cell r="F67" t="str">
            <v>YNT</v>
          </cell>
        </row>
        <row r="68">
          <cell r="F68" t="str">
            <v>YNT</v>
          </cell>
        </row>
        <row r="69">
          <cell r="F69" t="str">
            <v>SFI</v>
          </cell>
        </row>
        <row r="70">
          <cell r="F70" t="str">
            <v>YNT</v>
          </cell>
        </row>
        <row r="71">
          <cell r="F71" t="str">
            <v>YNT</v>
          </cell>
        </row>
        <row r="72">
          <cell r="F72" t="str">
            <v>YNT</v>
          </cell>
        </row>
        <row r="73">
          <cell r="F73" t="str">
            <v>IRA</v>
          </cell>
        </row>
        <row r="74">
          <cell r="F74" t="str">
            <v>EMH</v>
          </cell>
        </row>
        <row r="75">
          <cell r="F75" t="str">
            <v>HNM</v>
          </cell>
        </row>
        <row r="76">
          <cell r="F76" t="str">
            <v>ANW</v>
          </cell>
        </row>
        <row r="77">
          <cell r="F77" t="str">
            <v>MFT</v>
          </cell>
        </row>
        <row r="78">
          <cell r="F78" t="str">
            <v>RRI</v>
          </cell>
        </row>
        <row r="79">
          <cell r="F79" t="str">
            <v>SFI</v>
          </cell>
        </row>
        <row r="80">
          <cell r="F80" t="str">
            <v>WAH</v>
          </cell>
        </row>
        <row r="81">
          <cell r="F81" t="str">
            <v>AFT</v>
          </cell>
        </row>
        <row r="82">
          <cell r="F82" t="str">
            <v>ELD</v>
          </cell>
        </row>
        <row r="84">
          <cell r="F84" t="str">
            <v>ELD</v>
          </cell>
        </row>
        <row r="85">
          <cell r="F85" t="str">
            <v>KNH</v>
          </cell>
        </row>
        <row r="86">
          <cell r="F86" t="str">
            <v>AFT</v>
          </cell>
        </row>
        <row r="87">
          <cell r="F87" t="str">
            <v>ELD</v>
          </cell>
        </row>
        <row r="88">
          <cell r="F88" t="str">
            <v>KNH</v>
          </cell>
        </row>
        <row r="89">
          <cell r="F89" t="str">
            <v>AFT</v>
          </cell>
        </row>
        <row r="90">
          <cell r="F90" t="str">
            <v>MAK</v>
          </cell>
        </row>
        <row r="91">
          <cell r="F91" t="str">
            <v>ELD</v>
          </cell>
        </row>
        <row r="92">
          <cell r="F92" t="str">
            <v>SFI</v>
          </cell>
        </row>
        <row r="93">
          <cell r="F93" t="str">
            <v>HNM</v>
          </cell>
        </row>
        <row r="95">
          <cell r="F95" t="str">
            <v>EMH</v>
          </cell>
        </row>
        <row r="96">
          <cell r="F96" t="str">
            <v>HNM</v>
          </cell>
        </row>
        <row r="97">
          <cell r="F97" t="str">
            <v>ANW</v>
          </cell>
        </row>
        <row r="98">
          <cell r="F98" t="str">
            <v>MFT</v>
          </cell>
        </row>
        <row r="99">
          <cell r="F99" t="str">
            <v>MAK</v>
          </cell>
        </row>
        <row r="100">
          <cell r="F100" t="str">
            <v>SFI</v>
          </cell>
        </row>
        <row r="101">
          <cell r="F101" t="str">
            <v>ALF</v>
          </cell>
        </row>
        <row r="102">
          <cell r="F102" t="str">
            <v>AFT</v>
          </cell>
        </row>
        <row r="103">
          <cell r="F103" t="str">
            <v>MAK</v>
          </cell>
        </row>
        <row r="104">
          <cell r="F104" t="str">
            <v>FRD</v>
          </cell>
        </row>
        <row r="105">
          <cell r="F105" t="str">
            <v>KNH</v>
          </cell>
        </row>
        <row r="106">
          <cell r="F106" t="str">
            <v>AFT</v>
          </cell>
        </row>
        <row r="107">
          <cell r="F107" t="str">
            <v>HNM</v>
          </cell>
        </row>
        <row r="108">
          <cell r="F108" t="str">
            <v>KNH</v>
          </cell>
        </row>
        <row r="109">
          <cell r="F109" t="str">
            <v>FRD</v>
          </cell>
        </row>
        <row r="110">
          <cell r="F110" t="str">
            <v>MAK</v>
          </cell>
        </row>
        <row r="111">
          <cell r="F111" t="str">
            <v>WAH</v>
          </cell>
        </row>
        <row r="112">
          <cell r="F112" t="str">
            <v>LEI</v>
          </cell>
        </row>
        <row r="113">
          <cell r="F113" t="str">
            <v>BAT</v>
          </cell>
        </row>
        <row r="114">
          <cell r="F114" t="str">
            <v>EMH</v>
          </cell>
        </row>
        <row r="115">
          <cell r="F115" t="str">
            <v>AHD</v>
          </cell>
        </row>
        <row r="116">
          <cell r="F116" t="str">
            <v>ADM</v>
          </cell>
        </row>
        <row r="117">
          <cell r="F117" t="str">
            <v>MFT</v>
          </cell>
        </row>
        <row r="118">
          <cell r="F118" t="str">
            <v>FRD</v>
          </cell>
        </row>
        <row r="119">
          <cell r="F119" t="str">
            <v>EMH</v>
          </cell>
        </row>
        <row r="120">
          <cell r="F120" t="str">
            <v>MHA</v>
          </cell>
        </row>
        <row r="121">
          <cell r="F121" t="str">
            <v>BAT</v>
          </cell>
        </row>
        <row r="122">
          <cell r="F122" t="str">
            <v>ADM</v>
          </cell>
        </row>
        <row r="123">
          <cell r="F123" t="str">
            <v>LEI</v>
          </cell>
        </row>
        <row r="124">
          <cell r="F124" t="str">
            <v>MHA</v>
          </cell>
        </row>
        <row r="125">
          <cell r="F125" t="str">
            <v>AHD</v>
          </cell>
        </row>
        <row r="126">
          <cell r="F126" t="str">
            <v>WAH</v>
          </cell>
        </row>
        <row r="127">
          <cell r="F127" t="str">
            <v>CHB</v>
          </cell>
        </row>
        <row r="128">
          <cell r="F128" t="str">
            <v>BAT</v>
          </cell>
        </row>
        <row r="129">
          <cell r="F129" t="str">
            <v>Kartika</v>
          </cell>
        </row>
        <row r="130">
          <cell r="F130" t="str">
            <v>EMH</v>
          </cell>
        </row>
        <row r="133">
          <cell r="F133" t="str">
            <v>MHA</v>
          </cell>
        </row>
        <row r="134">
          <cell r="F134" t="str">
            <v>WAH</v>
          </cell>
        </row>
        <row r="135">
          <cell r="F135" t="str">
            <v>ADM</v>
          </cell>
        </row>
        <row r="136">
          <cell r="F136" t="str">
            <v>PAY</v>
          </cell>
        </row>
        <row r="137">
          <cell r="F137" t="str">
            <v>EFN</v>
          </cell>
        </row>
        <row r="138">
          <cell r="F138" t="str">
            <v>ELS</v>
          </cell>
        </row>
        <row r="139">
          <cell r="F139" t="str">
            <v>NWF</v>
          </cell>
        </row>
        <row r="140">
          <cell r="F140" t="str">
            <v>EFN</v>
          </cell>
        </row>
        <row r="141">
          <cell r="F141" t="str">
            <v>EFN</v>
          </cell>
        </row>
        <row r="142">
          <cell r="F142" t="str">
            <v>QAN</v>
          </cell>
        </row>
        <row r="143">
          <cell r="F143" t="str">
            <v>AEP</v>
          </cell>
        </row>
        <row r="144">
          <cell r="F144" t="str">
            <v>QAN</v>
          </cell>
        </row>
        <row r="145">
          <cell r="F145" t="str">
            <v>NWF</v>
          </cell>
        </row>
        <row r="146">
          <cell r="F146" t="str">
            <v>NWF</v>
          </cell>
        </row>
        <row r="147">
          <cell r="F147" t="str">
            <v>ADM</v>
          </cell>
        </row>
        <row r="148">
          <cell r="F148" t="str">
            <v>QAN</v>
          </cell>
        </row>
        <row r="149">
          <cell r="F149" t="str">
            <v>EFN</v>
          </cell>
        </row>
        <row r="150">
          <cell r="F150" t="str">
            <v>KKU</v>
          </cell>
        </row>
        <row r="151">
          <cell r="F151" t="str">
            <v>KKU</v>
          </cell>
        </row>
        <row r="152">
          <cell r="F152" t="str">
            <v>IWM</v>
          </cell>
        </row>
        <row r="153">
          <cell r="F153" t="str">
            <v>AEP</v>
          </cell>
        </row>
        <row r="154">
          <cell r="F154" t="str">
            <v>AEP</v>
          </cell>
        </row>
        <row r="155">
          <cell r="F155" t="str">
            <v>KKU</v>
          </cell>
        </row>
        <row r="156">
          <cell r="F156" t="str">
            <v>EFN</v>
          </cell>
        </row>
        <row r="157">
          <cell r="F157" t="str">
            <v>IWM</v>
          </cell>
        </row>
        <row r="158">
          <cell r="F158" t="str">
            <v>NWF</v>
          </cell>
        </row>
        <row r="159">
          <cell r="F159" t="str">
            <v>QAN</v>
          </cell>
        </row>
        <row r="160">
          <cell r="F160" t="str">
            <v>QAN</v>
          </cell>
        </row>
        <row r="161">
          <cell r="F161" t="str">
            <v>OAC</v>
          </cell>
        </row>
        <row r="162">
          <cell r="F162" t="str">
            <v>MMP</v>
          </cell>
        </row>
        <row r="163">
          <cell r="F163" t="str">
            <v>OAC</v>
          </cell>
        </row>
        <row r="164">
          <cell r="F164" t="str">
            <v>NWF</v>
          </cell>
        </row>
        <row r="165">
          <cell r="F165" t="str">
            <v>NGT</v>
          </cell>
        </row>
        <row r="166">
          <cell r="F166" t="str">
            <v>FAP</v>
          </cell>
        </row>
        <row r="167">
          <cell r="F167" t="str">
            <v>YNK</v>
          </cell>
        </row>
        <row r="168">
          <cell r="F168" t="str">
            <v>MFI</v>
          </cell>
        </row>
        <row r="169">
          <cell r="F169" t="str">
            <v>SUW</v>
          </cell>
        </row>
        <row r="170">
          <cell r="F170" t="str">
            <v>SNM</v>
          </cell>
        </row>
        <row r="171">
          <cell r="F171" t="str">
            <v>SUW</v>
          </cell>
        </row>
        <row r="172">
          <cell r="F172" t="str">
            <v>SUW</v>
          </cell>
        </row>
        <row r="173">
          <cell r="F173" t="str">
            <v>MMP</v>
          </cell>
        </row>
        <row r="174">
          <cell r="F174" t="str">
            <v>MMP</v>
          </cell>
        </row>
        <row r="175">
          <cell r="F175" t="str">
            <v>MMK</v>
          </cell>
        </row>
        <row r="176">
          <cell r="F176" t="str">
            <v>WND</v>
          </cell>
        </row>
        <row r="177">
          <cell r="F177" t="str">
            <v>WND</v>
          </cell>
        </row>
        <row r="178">
          <cell r="F178" t="str">
            <v>MMP</v>
          </cell>
        </row>
        <row r="179">
          <cell r="F179" t="str">
            <v>OAC</v>
          </cell>
        </row>
        <row r="180">
          <cell r="F180" t="str">
            <v>SNM</v>
          </cell>
        </row>
        <row r="181">
          <cell r="F181" t="str">
            <v>MMP</v>
          </cell>
        </row>
        <row r="182">
          <cell r="F182" t="str">
            <v>OAC</v>
          </cell>
        </row>
        <row r="183">
          <cell r="F183" t="str">
            <v>SNM</v>
          </cell>
        </row>
        <row r="184">
          <cell r="F184" t="str">
            <v>LEP</v>
          </cell>
        </row>
        <row r="186">
          <cell r="F186" t="str">
            <v>MFI</v>
          </cell>
        </row>
        <row r="187">
          <cell r="F187" t="str">
            <v>SNM</v>
          </cell>
        </row>
        <row r="188">
          <cell r="F188" t="str">
            <v>WND</v>
          </cell>
        </row>
        <row r="189">
          <cell r="F189" t="str">
            <v>MFI</v>
          </cell>
        </row>
        <row r="190">
          <cell r="F190" t="str">
            <v>SNM</v>
          </cell>
        </row>
        <row r="191">
          <cell r="F191" t="str">
            <v>MDI</v>
          </cell>
        </row>
        <row r="192">
          <cell r="F192" t="str">
            <v>MFI</v>
          </cell>
        </row>
        <row r="193">
          <cell r="F193" t="str">
            <v>WND</v>
          </cell>
        </row>
        <row r="194">
          <cell r="F194" t="str">
            <v>MFI</v>
          </cell>
        </row>
        <row r="195">
          <cell r="F195" t="str">
            <v>OAC</v>
          </cell>
        </row>
        <row r="196">
          <cell r="F196" t="str">
            <v>OAC</v>
          </cell>
        </row>
        <row r="197">
          <cell r="F197" t="str">
            <v>YNK</v>
          </cell>
        </row>
        <row r="198">
          <cell r="F198" t="str">
            <v>FAP</v>
          </cell>
        </row>
        <row r="199">
          <cell r="F199" t="str">
            <v>ARH</v>
          </cell>
        </row>
        <row r="200">
          <cell r="F200" t="str">
            <v>OPP</v>
          </cell>
        </row>
        <row r="201">
          <cell r="F201" t="str">
            <v>YNK</v>
          </cell>
        </row>
        <row r="202">
          <cell r="F202" t="str">
            <v>YNK</v>
          </cell>
        </row>
        <row r="203">
          <cell r="F203" t="str">
            <v>FAP</v>
          </cell>
        </row>
        <row r="204">
          <cell r="F204" t="str">
            <v>ELS</v>
          </cell>
        </row>
        <row r="205">
          <cell r="F205" t="str">
            <v>MHN</v>
          </cell>
        </row>
        <row r="206">
          <cell r="F206" t="str">
            <v>YNK</v>
          </cell>
        </row>
        <row r="207">
          <cell r="F207" t="str">
            <v>LET</v>
          </cell>
        </row>
        <row r="208">
          <cell r="F208" t="str">
            <v>ARH</v>
          </cell>
        </row>
        <row r="209">
          <cell r="F209" t="str">
            <v>ELS</v>
          </cell>
        </row>
        <row r="210">
          <cell r="F210" t="str">
            <v>OPP</v>
          </cell>
        </row>
        <row r="211">
          <cell r="F211" t="str">
            <v>OPP</v>
          </cell>
        </row>
        <row r="212">
          <cell r="F212" t="str">
            <v>LET</v>
          </cell>
        </row>
        <row r="213">
          <cell r="F213" t="str">
            <v>MHN</v>
          </cell>
        </row>
        <row r="214">
          <cell r="F214" t="str">
            <v>YNK</v>
          </cell>
        </row>
        <row r="215">
          <cell r="F215" t="str">
            <v>RHY</v>
          </cell>
        </row>
        <row r="216">
          <cell r="F216" t="str">
            <v>ARH</v>
          </cell>
        </row>
        <row r="218">
          <cell r="F218" t="str">
            <v>MHN</v>
          </cell>
        </row>
        <row r="220">
          <cell r="F220" t="str">
            <v>ELS</v>
          </cell>
        </row>
        <row r="221">
          <cell r="F221" t="str">
            <v>ELS</v>
          </cell>
        </row>
        <row r="222">
          <cell r="F222" t="str">
            <v>FAP</v>
          </cell>
        </row>
        <row r="223">
          <cell r="F223" t="str">
            <v>IWM</v>
          </cell>
        </row>
        <row r="224">
          <cell r="F224" t="str">
            <v>FAP</v>
          </cell>
        </row>
        <row r="225">
          <cell r="F225" t="str">
            <v>ARH</v>
          </cell>
        </row>
        <row r="228">
          <cell r="F228" t="str">
            <v>EFN</v>
          </cell>
        </row>
        <row r="229">
          <cell r="F229" t="str">
            <v>SUW</v>
          </cell>
        </row>
        <row r="230">
          <cell r="F230" t="str">
            <v>EMH</v>
          </cell>
        </row>
        <row r="231">
          <cell r="F231" t="str">
            <v>YSM</v>
          </cell>
        </row>
        <row r="232">
          <cell r="F232" t="str">
            <v>AAG</v>
          </cell>
        </row>
        <row r="233">
          <cell r="F233" t="str">
            <v>YIR</v>
          </cell>
        </row>
        <row r="234">
          <cell r="F234" t="str">
            <v>PRM</v>
          </cell>
        </row>
        <row r="235">
          <cell r="F235" t="str">
            <v>PRM</v>
          </cell>
        </row>
        <row r="236">
          <cell r="F236" t="str">
            <v>AAG</v>
          </cell>
        </row>
        <row r="237">
          <cell r="F237" t="str">
            <v>AAG</v>
          </cell>
        </row>
        <row r="238">
          <cell r="F238" t="str">
            <v>YSM</v>
          </cell>
        </row>
        <row r="239">
          <cell r="F239" t="str">
            <v>ARH</v>
          </cell>
        </row>
        <row r="240">
          <cell r="F240" t="str">
            <v>IAC</v>
          </cell>
        </row>
        <row r="241">
          <cell r="F241" t="str">
            <v>PRM</v>
          </cell>
        </row>
        <row r="242">
          <cell r="F242" t="str">
            <v>IAC</v>
          </cell>
        </row>
        <row r="243">
          <cell r="F243" t="str">
            <v>YSM</v>
          </cell>
        </row>
        <row r="244">
          <cell r="F244" t="str">
            <v>PRM</v>
          </cell>
        </row>
        <row r="246">
          <cell r="F246" t="str">
            <v>PRM</v>
          </cell>
        </row>
        <row r="247">
          <cell r="F247" t="str">
            <v>AAG</v>
          </cell>
        </row>
        <row r="248">
          <cell r="F248" t="str">
            <v>AAG</v>
          </cell>
        </row>
        <row r="249">
          <cell r="F249" t="str">
            <v>DYS</v>
          </cell>
        </row>
        <row r="250">
          <cell r="F250" t="str">
            <v>DYS</v>
          </cell>
        </row>
        <row r="251">
          <cell r="F251" t="str">
            <v>DYS</v>
          </cell>
        </row>
        <row r="252">
          <cell r="F252" t="str">
            <v>MAR</v>
          </cell>
        </row>
        <row r="253">
          <cell r="F253" t="str">
            <v>NGT</v>
          </cell>
        </row>
        <row r="254">
          <cell r="F254" t="str">
            <v>PAY</v>
          </cell>
        </row>
        <row r="255">
          <cell r="F255" t="str">
            <v>DSP</v>
          </cell>
        </row>
        <row r="256">
          <cell r="F256" t="str">
            <v>RHY</v>
          </cell>
        </row>
        <row r="257">
          <cell r="F257" t="str">
            <v>LHY</v>
          </cell>
        </row>
        <row r="258">
          <cell r="F258" t="str">
            <v>MAR</v>
          </cell>
        </row>
        <row r="259">
          <cell r="F259" t="str">
            <v>BMR</v>
          </cell>
        </row>
        <row r="260">
          <cell r="F260" t="str">
            <v>TQB</v>
          </cell>
        </row>
        <row r="261">
          <cell r="F261" t="str">
            <v>YIR</v>
          </cell>
        </row>
        <row r="262">
          <cell r="F262" t="str">
            <v>TQB</v>
          </cell>
        </row>
        <row r="263">
          <cell r="F263" t="str">
            <v>LHY</v>
          </cell>
        </row>
        <row r="264">
          <cell r="F264" t="str">
            <v>DSP</v>
          </cell>
        </row>
        <row r="265">
          <cell r="F265" t="str">
            <v>YIR</v>
          </cell>
        </row>
        <row r="266">
          <cell r="F266" t="str">
            <v>RHY</v>
          </cell>
        </row>
        <row r="267">
          <cell r="F267" t="str">
            <v>MAR</v>
          </cell>
        </row>
        <row r="268">
          <cell r="F268" t="str">
            <v>TQB</v>
          </cell>
        </row>
        <row r="269">
          <cell r="F269" t="str">
            <v>YSD</v>
          </cell>
        </row>
        <row r="270">
          <cell r="F270" t="str">
            <v>TQB</v>
          </cell>
        </row>
        <row r="271">
          <cell r="F271" t="str">
            <v>LHY</v>
          </cell>
        </row>
        <row r="272">
          <cell r="F272" t="str">
            <v>DSP</v>
          </cell>
        </row>
        <row r="273">
          <cell r="F273" t="str">
            <v>DSP</v>
          </cell>
        </row>
        <row r="274">
          <cell r="F274" t="str">
            <v>MAR</v>
          </cell>
        </row>
        <row r="275">
          <cell r="F275" t="str">
            <v>NGT</v>
          </cell>
        </row>
        <row r="276">
          <cell r="F276" t="str">
            <v>PAY</v>
          </cell>
        </row>
        <row r="277">
          <cell r="F277" t="str">
            <v>DSP</v>
          </cell>
        </row>
        <row r="278">
          <cell r="F278" t="str">
            <v>RHY</v>
          </cell>
        </row>
        <row r="279">
          <cell r="F279" t="str">
            <v>LHY</v>
          </cell>
        </row>
        <row r="280">
          <cell r="F280" t="str">
            <v>MAR</v>
          </cell>
        </row>
        <row r="281">
          <cell r="F281" t="str">
            <v>NGT</v>
          </cell>
        </row>
        <row r="282">
          <cell r="F282" t="str">
            <v>TQB</v>
          </cell>
        </row>
        <row r="283">
          <cell r="F283" t="str">
            <v>YIR</v>
          </cell>
        </row>
        <row r="284">
          <cell r="F284" t="str">
            <v>TQB</v>
          </cell>
        </row>
        <row r="285">
          <cell r="F285" t="str">
            <v>LHY</v>
          </cell>
        </row>
        <row r="286">
          <cell r="F286" t="str">
            <v>DSP</v>
          </cell>
        </row>
        <row r="287">
          <cell r="F287" t="str">
            <v>YIR</v>
          </cell>
        </row>
        <row r="288">
          <cell r="F288" t="str">
            <v>RHY</v>
          </cell>
        </row>
        <row r="289">
          <cell r="F289" t="str">
            <v>MAR</v>
          </cell>
        </row>
        <row r="291">
          <cell r="F291" t="str">
            <v>BMR</v>
          </cell>
        </row>
        <row r="292">
          <cell r="F292" t="str">
            <v>PAY</v>
          </cell>
        </row>
        <row r="293">
          <cell r="F293" t="str">
            <v>NGT</v>
          </cell>
        </row>
        <row r="294">
          <cell r="F294" t="str">
            <v>RSD</v>
          </cell>
        </row>
        <row r="295">
          <cell r="F295" t="str">
            <v>PAY</v>
          </cell>
        </row>
        <row r="296">
          <cell r="F296" t="str">
            <v>CWU</v>
          </cell>
        </row>
        <row r="297">
          <cell r="F297" t="str">
            <v>RHY</v>
          </cell>
        </row>
        <row r="298">
          <cell r="F298" t="str">
            <v>BMR</v>
          </cell>
        </row>
        <row r="299">
          <cell r="F299" t="str">
            <v>CWU</v>
          </cell>
        </row>
        <row r="300">
          <cell r="F300" t="str">
            <v>CWU</v>
          </cell>
        </row>
        <row r="301">
          <cell r="F301" t="str">
            <v>RSD</v>
          </cell>
        </row>
        <row r="302">
          <cell r="F302" t="str">
            <v>CWU</v>
          </cell>
        </row>
        <row r="303">
          <cell r="F303" t="str">
            <v>PTA</v>
          </cell>
        </row>
        <row r="304">
          <cell r="F304" t="str">
            <v>BMR</v>
          </cell>
        </row>
        <row r="305">
          <cell r="F305" t="str">
            <v>YSD</v>
          </cell>
        </row>
        <row r="306">
          <cell r="F306" t="str">
            <v>PTA</v>
          </cell>
        </row>
        <row r="307">
          <cell r="F307" t="str">
            <v>RSD</v>
          </cell>
        </row>
        <row r="308">
          <cell r="F308" t="str">
            <v>CWU</v>
          </cell>
        </row>
        <row r="309">
          <cell r="F309" t="str">
            <v>PTA</v>
          </cell>
        </row>
        <row r="310">
          <cell r="F310" t="str">
            <v>YSD</v>
          </cell>
        </row>
        <row r="311">
          <cell r="F311" t="str">
            <v>RSD</v>
          </cell>
        </row>
        <row r="312">
          <cell r="F312" t="str">
            <v>LEF</v>
          </cell>
        </row>
        <row r="313">
          <cell r="F313" t="str">
            <v>LEF</v>
          </cell>
        </row>
        <row r="314">
          <cell r="F314" t="str">
            <v>YSD</v>
          </cell>
        </row>
        <row r="315">
          <cell r="F315" t="str">
            <v>CWU</v>
          </cell>
        </row>
        <row r="316">
          <cell r="F316" t="str">
            <v>BMR</v>
          </cell>
        </row>
        <row r="317">
          <cell r="F317" t="str">
            <v>YSD</v>
          </cell>
        </row>
        <row r="318">
          <cell r="F318" t="str">
            <v>YSD</v>
          </cell>
        </row>
        <row r="319">
          <cell r="F319" t="str">
            <v>LEF</v>
          </cell>
        </row>
        <row r="320">
          <cell r="F320" t="str">
            <v>BMR</v>
          </cell>
        </row>
        <row r="321">
          <cell r="F321" t="str">
            <v>IRA</v>
          </cell>
        </row>
        <row r="322">
          <cell r="F322" t="str">
            <v>TWA</v>
          </cell>
        </row>
        <row r="323">
          <cell r="F323" t="str">
            <v>RNA</v>
          </cell>
        </row>
        <row r="324">
          <cell r="F324" t="str">
            <v>RNU</v>
          </cell>
        </row>
        <row r="325">
          <cell r="F325" t="str">
            <v>TAN</v>
          </cell>
        </row>
        <row r="326">
          <cell r="F326" t="str">
            <v>RHY</v>
          </cell>
        </row>
        <row r="327">
          <cell r="F327" t="str">
            <v>TWA</v>
          </cell>
        </row>
        <row r="328">
          <cell r="F328" t="str">
            <v>NRS</v>
          </cell>
        </row>
        <row r="329">
          <cell r="F329" t="str">
            <v>RNA</v>
          </cell>
        </row>
        <row r="330">
          <cell r="F330" t="str">
            <v>TAN</v>
          </cell>
        </row>
        <row r="331">
          <cell r="F331" t="str">
            <v>NRS</v>
          </cell>
        </row>
        <row r="332">
          <cell r="F332" t="str">
            <v>RNU</v>
          </cell>
        </row>
        <row r="333">
          <cell r="F333" t="str">
            <v>RNA</v>
          </cell>
        </row>
        <row r="334">
          <cell r="F334" t="str">
            <v>NRS</v>
          </cell>
        </row>
        <row r="335">
          <cell r="F335" t="str">
            <v>TAN</v>
          </cell>
        </row>
        <row r="336">
          <cell r="F336" t="str">
            <v>IRA</v>
          </cell>
        </row>
        <row r="337">
          <cell r="F337" t="str">
            <v>IRA</v>
          </cell>
        </row>
        <row r="338">
          <cell r="F338" t="str">
            <v>RNU</v>
          </cell>
        </row>
        <row r="339">
          <cell r="F339" t="str">
            <v>TAN</v>
          </cell>
        </row>
        <row r="340">
          <cell r="F340" t="str">
            <v>TWA</v>
          </cell>
        </row>
        <row r="341">
          <cell r="F341" t="str">
            <v>IRA</v>
          </cell>
        </row>
        <row r="342">
          <cell r="F342" t="str">
            <v>TAN</v>
          </cell>
        </row>
        <row r="343">
          <cell r="F343" t="str">
            <v>IRA</v>
          </cell>
        </row>
        <row r="344">
          <cell r="F344" t="str">
            <v>RNA</v>
          </cell>
        </row>
        <row r="345">
          <cell r="F345" t="str">
            <v>TWA</v>
          </cell>
        </row>
        <row r="347">
          <cell r="F347" t="str">
            <v>TWA</v>
          </cell>
        </row>
        <row r="348">
          <cell r="F348" t="str">
            <v>RNA</v>
          </cell>
        </row>
        <row r="349">
          <cell r="F349" t="str">
            <v>NRS</v>
          </cell>
        </row>
        <row r="350">
          <cell r="F350" t="str">
            <v>IAC</v>
          </cell>
        </row>
        <row r="352">
          <cell r="F352" t="str">
            <v>MHA</v>
          </cell>
        </row>
        <row r="353">
          <cell r="F353" t="str">
            <v>LEI</v>
          </cell>
        </row>
        <row r="354">
          <cell r="F354" t="str">
            <v>LEI</v>
          </cell>
        </row>
        <row r="355">
          <cell r="F355" t="str">
            <v>IAC</v>
          </cell>
        </row>
        <row r="356">
          <cell r="F356" t="str">
            <v>IAC</v>
          </cell>
        </row>
        <row r="357">
          <cell r="F357" t="str">
            <v>YSM</v>
          </cell>
        </row>
        <row r="358">
          <cell r="F358" t="str">
            <v>IWM</v>
          </cell>
        </row>
        <row r="359">
          <cell r="F359" t="str">
            <v>IWM</v>
          </cell>
        </row>
        <row r="360">
          <cell r="F360" t="str">
            <v>IWM</v>
          </cell>
        </row>
        <row r="361">
          <cell r="F361" t="str">
            <v>IAC</v>
          </cell>
        </row>
        <row r="362">
          <cell r="F362" t="str">
            <v>LEO</v>
          </cell>
        </row>
        <row r="363">
          <cell r="F363" t="str">
            <v>LEO</v>
          </cell>
        </row>
        <row r="364">
          <cell r="F364" t="str">
            <v>LEU</v>
          </cell>
        </row>
        <row r="365">
          <cell r="F365" t="str">
            <v>LEU</v>
          </cell>
        </row>
        <row r="366">
          <cell r="F366" t="str">
            <v>LEA</v>
          </cell>
        </row>
        <row r="367">
          <cell r="F367" t="str">
            <v>LEA</v>
          </cell>
        </row>
        <row r="368">
          <cell r="F368" t="str">
            <v>LEA</v>
          </cell>
        </row>
        <row r="369">
          <cell r="F369" t="str">
            <v>LEA</v>
          </cell>
        </row>
        <row r="370">
          <cell r="F370" t="str">
            <v>LEA</v>
          </cell>
        </row>
        <row r="371">
          <cell r="F371" t="str">
            <v>LEH</v>
          </cell>
        </row>
        <row r="372">
          <cell r="F372" t="str">
            <v>LEH</v>
          </cell>
        </row>
        <row r="373">
          <cell r="F373" t="str">
            <v>LEH</v>
          </cell>
        </row>
        <row r="374">
          <cell r="F374" t="str">
            <v>LEB</v>
          </cell>
        </row>
        <row r="375">
          <cell r="F375" t="str">
            <v>LEB</v>
          </cell>
        </row>
        <row r="376">
          <cell r="F376" t="str">
            <v>LEB</v>
          </cell>
        </row>
        <row r="377">
          <cell r="F377" t="str">
            <v>LEC</v>
          </cell>
        </row>
        <row r="378">
          <cell r="F378" t="str">
            <v>LEC</v>
          </cell>
        </row>
        <row r="379">
          <cell r="F379" t="str">
            <v>LEC</v>
          </cell>
        </row>
        <row r="380">
          <cell r="F380" t="str">
            <v>LER</v>
          </cell>
        </row>
        <row r="381">
          <cell r="F381" t="str">
            <v>LER</v>
          </cell>
        </row>
      </sheetData>
      <sheetData sheetId="1" refreshError="1">
        <row r="1">
          <cell r="A1" t="str">
            <v>Kode Dosen</v>
          </cell>
          <cell r="B1" t="str">
            <v>Nama Dosen</v>
          </cell>
        </row>
        <row r="2">
          <cell r="A2">
            <v>0</v>
          </cell>
          <cell r="B2" t="str">
            <v>Digabung</v>
          </cell>
        </row>
        <row r="3">
          <cell r="A3" t="str">
            <v>AAG</v>
          </cell>
          <cell r="B3" t="str">
            <v>Azmi Alvian Gabriel, S.TP., M.P.</v>
          </cell>
        </row>
        <row r="4">
          <cell r="A4" t="str">
            <v>AAP</v>
          </cell>
          <cell r="B4" t="str">
            <v>Atikah Aghdhi Pratiwi, S.T., M.T</v>
          </cell>
        </row>
        <row r="5">
          <cell r="A5" t="str">
            <v>AAV</v>
          </cell>
          <cell r="B5" t="str">
            <v>Anindita Adikaputri Vinaya, S.T., M.T.</v>
          </cell>
        </row>
        <row r="6">
          <cell r="A6" t="str">
            <v>ADM</v>
          </cell>
          <cell r="B6" t="str">
            <v>Ahmad Dahlan Malik, B.A.(Hons). M.Ec.</v>
          </cell>
        </row>
        <row r="7">
          <cell r="A7" t="str">
            <v>AEP</v>
          </cell>
          <cell r="B7" t="str">
            <v>Andhika Eko Prasetyo, S.T., M.T.</v>
          </cell>
        </row>
        <row r="8">
          <cell r="A8" t="str">
            <v>AFT</v>
          </cell>
          <cell r="B8" t="str">
            <v>Alfiana Fitri, SA., MA</v>
          </cell>
        </row>
        <row r="9">
          <cell r="A9" t="str">
            <v>AHD</v>
          </cell>
          <cell r="B9" t="str">
            <v>Ahmad Hudaifah, S.E., M.Ec.</v>
          </cell>
        </row>
        <row r="10">
          <cell r="A10" t="str">
            <v>ALF</v>
          </cell>
          <cell r="B10" t="str">
            <v>Alfina, S.M., M.M.</v>
          </cell>
        </row>
        <row r="11">
          <cell r="A11" t="str">
            <v>ANW</v>
          </cell>
          <cell r="B11" t="str">
            <v>Aditya Narendra Wardhana, S.T., M.SM.</v>
          </cell>
        </row>
        <row r="12">
          <cell r="A12" t="str">
            <v>ARD</v>
          </cell>
          <cell r="B12" t="str">
            <v>Ahmad Rusdiansyah</v>
          </cell>
        </row>
        <row r="13">
          <cell r="A13" t="str">
            <v>ARH</v>
          </cell>
          <cell r="B13" t="str">
            <v>Ani Rahmat</v>
          </cell>
        </row>
        <row r="14">
          <cell r="A14" t="str">
            <v>ATL</v>
          </cell>
          <cell r="B14" t="str">
            <v>Artya Lathifah, S.T., M.Sc., MBA.</v>
          </cell>
        </row>
        <row r="15">
          <cell r="A15" t="str">
            <v>AZD</v>
          </cell>
          <cell r="B15" t="str">
            <v>Andi Zulfikar Darussalam, M.Si., M.Hum.</v>
          </cell>
        </row>
        <row r="16">
          <cell r="A16" t="str">
            <v>BAT</v>
          </cell>
          <cell r="B16" t="str">
            <v>Bambang Tutuko, S.E., M.M., CFP</v>
          </cell>
        </row>
        <row r="17">
          <cell r="A17" t="str">
            <v>BMR</v>
          </cell>
          <cell r="B17" t="str">
            <v>Brina Miftahurrohmah, S.Si., M.Si</v>
          </cell>
        </row>
        <row r="18">
          <cell r="A18" t="str">
            <v>CHB</v>
          </cell>
          <cell r="B18" t="str">
            <v>Dr. Ir. Chabib Bahari, S.E., M.M.</v>
          </cell>
        </row>
        <row r="19">
          <cell r="A19" t="str">
            <v>CWU</v>
          </cell>
          <cell r="B19" t="str">
            <v>Catur Wulandari, S.Kom., M.Sc</v>
          </cell>
        </row>
        <row r="20">
          <cell r="A20" t="str">
            <v>DSP</v>
          </cell>
          <cell r="B20" t="str">
            <v>Doni Setio Pambudi, S.Kom. M.Kom</v>
          </cell>
        </row>
        <row r="21">
          <cell r="A21" t="str">
            <v>DYS</v>
          </cell>
          <cell r="B21" t="str">
            <v>Dyah Satiti</v>
          </cell>
        </row>
        <row r="22">
          <cell r="A22" t="str">
            <v>EFN</v>
          </cell>
          <cell r="B22" t="str">
            <v>Elita Fidiya Nugrahani, S.T., M.Eng., M.T.</v>
          </cell>
        </row>
        <row r="23">
          <cell r="A23" t="str">
            <v>ELD</v>
          </cell>
          <cell r="B23" t="str">
            <v>Dr. Erlina Diamastuti, S.E., M.Si., Ak, CA</v>
          </cell>
        </row>
        <row r="24">
          <cell r="A24" t="str">
            <v>ELS</v>
          </cell>
          <cell r="B24" t="str">
            <v>Eka Lutfi Septiani, S.T., M.T.</v>
          </cell>
        </row>
        <row r="25">
          <cell r="A25" t="str">
            <v>EMH</v>
          </cell>
          <cell r="B25" t="str">
            <v>Elsi Mersilia Hanesti, S.EI., M.SE</v>
          </cell>
        </row>
        <row r="26">
          <cell r="A26" t="str">
            <v>FAP</v>
          </cell>
          <cell r="B26" t="str">
            <v>Fandi Angga Prasetya, S.Si., M.Si</v>
          </cell>
        </row>
        <row r="27">
          <cell r="A27" t="str">
            <v>FRD</v>
          </cell>
          <cell r="B27" t="str">
            <v>Fitri Ramadhan</v>
          </cell>
        </row>
        <row r="28">
          <cell r="A28" t="str">
            <v>GFP</v>
          </cell>
          <cell r="B28" t="str">
            <v>Grandys Frieska Prassida, S.Kom., M.Kom.</v>
          </cell>
        </row>
        <row r="29">
          <cell r="A29" t="str">
            <v>GTK</v>
          </cell>
          <cell r="B29" t="str">
            <v>Dr. Gatot Kustyadji, S.E., M.Si</v>
          </cell>
        </row>
        <row r="30">
          <cell r="A30" t="str">
            <v>HDC</v>
          </cell>
          <cell r="B30" t="str">
            <v>Hadi Cahyono, S.E., M.M.</v>
          </cell>
        </row>
        <row r="31">
          <cell r="A31" t="str">
            <v>HNM</v>
          </cell>
          <cell r="B31" t="str">
            <v>Husnunnida Maharani</v>
          </cell>
        </row>
        <row r="32">
          <cell r="A32" t="str">
            <v>IAC</v>
          </cell>
          <cell r="B32" t="str">
            <v>Irvan Adhin Cholilie, S.TP., M.P</v>
          </cell>
        </row>
        <row r="33">
          <cell r="A33" t="str">
            <v>IRA</v>
          </cell>
          <cell r="B33" t="str">
            <v>Irni Resmi Apriyanti, S.Ds., M.Ds.</v>
          </cell>
        </row>
        <row r="34">
          <cell r="A34" t="str">
            <v>IWM</v>
          </cell>
          <cell r="B34" t="str">
            <v>Izzati Winda Murti, S.T., M.T.</v>
          </cell>
        </row>
        <row r="35">
          <cell r="A35" t="str">
            <v>JSM</v>
          </cell>
          <cell r="B35" t="str">
            <v>Johan Samudra</v>
          </cell>
        </row>
        <row r="36">
          <cell r="A36" t="str">
            <v>KKU</v>
          </cell>
          <cell r="B36" t="str">
            <v>Kuntum Khoiro Ummatin, S.T., M.T.</v>
          </cell>
        </row>
        <row r="37">
          <cell r="A37" t="str">
            <v>KNH</v>
          </cell>
          <cell r="B37" t="str">
            <v>Kurniasari Novi Hardanti, SE., M.CA</v>
          </cell>
        </row>
        <row r="38">
          <cell r="A38" t="str">
            <v>LEA</v>
          </cell>
          <cell r="B38" t="str">
            <v>Almira Fidela Artha, S.S., M.Hum</v>
          </cell>
        </row>
        <row r="39">
          <cell r="A39" t="str">
            <v>LEB</v>
          </cell>
          <cell r="B39" t="str">
            <v>Suryadi Kusniawan S.Hum., M.Hum</v>
          </cell>
        </row>
        <row r="40">
          <cell r="A40" t="str">
            <v>LEC</v>
          </cell>
          <cell r="B40" t="str">
            <v>Adelia</v>
          </cell>
        </row>
        <row r="41">
          <cell r="A41" t="str">
            <v>LED</v>
          </cell>
          <cell r="B41" t="str">
            <v>Arif Yarmanto</v>
          </cell>
        </row>
        <row r="42">
          <cell r="A42" t="str">
            <v>LEE</v>
          </cell>
          <cell r="B42" t="str">
            <v>Dr.Eng Chastine Fatichah S.Kom., M.Kom</v>
          </cell>
        </row>
        <row r="43">
          <cell r="A43" t="str">
            <v>LEF</v>
          </cell>
          <cell r="B43" t="str">
            <v>Lukman</v>
          </cell>
        </row>
        <row r="44">
          <cell r="A44" t="str">
            <v>LEG</v>
          </cell>
          <cell r="B44" t="str">
            <v>Dr. Achmad Dwitama Karisma, S.T., M.T.</v>
          </cell>
        </row>
        <row r="45">
          <cell r="A45" t="str">
            <v>LEH</v>
          </cell>
          <cell r="B45" t="str">
            <v>Kukuh Yudha Karnanta, S.S, M.A.</v>
          </cell>
        </row>
        <row r="46">
          <cell r="A46" t="str">
            <v>LEI</v>
          </cell>
          <cell r="B46" t="str">
            <v>M. Fathoni</v>
          </cell>
        </row>
        <row r="47">
          <cell r="A47" t="str">
            <v>LEJ</v>
          </cell>
          <cell r="B47" t="str">
            <v>Amira</v>
          </cell>
        </row>
        <row r="48">
          <cell r="A48" t="str">
            <v>LEK</v>
          </cell>
          <cell r="B48" t="str">
            <v>Ilmanza Restuadi Kurniawan</v>
          </cell>
        </row>
        <row r="49">
          <cell r="A49" t="str">
            <v>LEL</v>
          </cell>
          <cell r="B49" t="str">
            <v>Lolita</v>
          </cell>
        </row>
        <row r="50">
          <cell r="A50" t="str">
            <v>LEM</v>
          </cell>
          <cell r="B50" t="str">
            <v xml:space="preserve">Shintya </v>
          </cell>
        </row>
        <row r="51">
          <cell r="A51" t="str">
            <v>LEN</v>
          </cell>
          <cell r="B51" t="str">
            <v>Nugrahadi</v>
          </cell>
        </row>
        <row r="52">
          <cell r="A52" t="str">
            <v>LEO</v>
          </cell>
          <cell r="B52" t="str">
            <v>Anisa Pinatih</v>
          </cell>
        </row>
        <row r="53">
          <cell r="A53" t="str">
            <v>LEP</v>
          </cell>
          <cell r="B53" t="str">
            <v>Putri AKSI</v>
          </cell>
        </row>
        <row r="54">
          <cell r="A54" t="str">
            <v>LEQ</v>
          </cell>
          <cell r="B54" t="str">
            <v>Billy</v>
          </cell>
        </row>
        <row r="55">
          <cell r="A55" t="str">
            <v>LER</v>
          </cell>
          <cell r="B55" t="str">
            <v>Ikhsan Rosyid, S.S., M.Hum</v>
          </cell>
        </row>
        <row r="56">
          <cell r="A56" t="str">
            <v>LES</v>
          </cell>
          <cell r="B56" t="str">
            <v>Syamsudin Chalim S.Pd., M.Pd</v>
          </cell>
        </row>
        <row r="57">
          <cell r="A57" t="str">
            <v>LET</v>
          </cell>
          <cell r="B57" t="str">
            <v>Tontowi Ismail</v>
          </cell>
        </row>
        <row r="58">
          <cell r="A58" t="str">
            <v>LEU</v>
          </cell>
          <cell r="B58" t="str">
            <v>Pristi Rininta</v>
          </cell>
        </row>
        <row r="59">
          <cell r="A59" t="str">
            <v>LEV</v>
          </cell>
          <cell r="B59" t="str">
            <v>Rifai</v>
          </cell>
        </row>
        <row r="60">
          <cell r="A60" t="str">
            <v>LEW</v>
          </cell>
          <cell r="B60" t="str">
            <v>Widio Rahardjo S.H.,M.Kn</v>
          </cell>
        </row>
        <row r="61">
          <cell r="A61" t="str">
            <v>LEX</v>
          </cell>
          <cell r="B61" t="str">
            <v>Andy Haryoko S.T., M.Kom</v>
          </cell>
        </row>
        <row r="62">
          <cell r="A62" t="str">
            <v>LEY</v>
          </cell>
          <cell r="B62" t="str">
            <v xml:space="preserve">Kartika </v>
          </cell>
        </row>
        <row r="63">
          <cell r="A63" t="str">
            <v>LEZ</v>
          </cell>
          <cell r="B63" t="str">
            <v>Fathoniz Zakka, Lc. MTh.I</v>
          </cell>
        </row>
        <row r="64">
          <cell r="A64" t="str">
            <v>LHY</v>
          </cell>
          <cell r="B64" t="str">
            <v>Lailatul Hidayah, S.Kom., MS.</v>
          </cell>
        </row>
        <row r="65">
          <cell r="A65" t="str">
            <v>LKT</v>
          </cell>
          <cell r="B65" t="str">
            <v>Luki Trihardani, S.T., M.T.</v>
          </cell>
        </row>
        <row r="66">
          <cell r="A66" t="str">
            <v>LRS</v>
          </cell>
          <cell r="B66" t="str">
            <v>Lisa Risfana Sari S.Si., M.Si</v>
          </cell>
        </row>
        <row r="67">
          <cell r="A67" t="str">
            <v>MAK</v>
          </cell>
          <cell r="B67" t="str">
            <v>Muhammad Akbar, S.E., M.Acc., Ak.</v>
          </cell>
        </row>
        <row r="68">
          <cell r="A68" t="str">
            <v>MAR</v>
          </cell>
          <cell r="B68" t="str">
            <v>Mohammad Arif Rasyidi, S.Kom., M.Sc.</v>
          </cell>
        </row>
        <row r="69">
          <cell r="A69" t="str">
            <v>MDI</v>
          </cell>
          <cell r="B69" t="str">
            <v>Mirza Dwinanda Ilmawan, S.E., M.M.</v>
          </cell>
        </row>
        <row r="70">
          <cell r="A70" t="str">
            <v>MFI</v>
          </cell>
          <cell r="B70" t="str">
            <v>Muhammad Faisal Ibrahim, S.T., M.T.</v>
          </cell>
        </row>
        <row r="71">
          <cell r="A71" t="str">
            <v>MFT</v>
          </cell>
          <cell r="B71" t="str">
            <v>Mia Fathia, S.Si., M.Sc.Fin</v>
          </cell>
        </row>
        <row r="72">
          <cell r="A72" t="str">
            <v>MHA</v>
          </cell>
          <cell r="B72" t="str">
            <v>Drs. Muhammad Asyhad, M.Pd.I.</v>
          </cell>
        </row>
        <row r="73">
          <cell r="A73" t="str">
            <v>MHN</v>
          </cell>
          <cell r="B73" t="str">
            <v>Mala Hayati Nasution, S.T., M.T</v>
          </cell>
        </row>
        <row r="74">
          <cell r="A74" t="str">
            <v>MMK</v>
          </cell>
          <cell r="B74" t="str">
            <v>Marisya Mahdia Khoirina, S.M., M.M.</v>
          </cell>
        </row>
        <row r="75">
          <cell r="A75" t="str">
            <v>MMP</v>
          </cell>
          <cell r="B75" t="str">
            <v>Maulin Masyito Putri, S.T., M.T</v>
          </cell>
        </row>
        <row r="76">
          <cell r="A76" t="str">
            <v>NCS</v>
          </cell>
          <cell r="B76" t="str">
            <v>Ndaru Candra Sukmana, S.Si., M.Si.</v>
          </cell>
        </row>
        <row r="77">
          <cell r="A77" t="str">
            <v>NEF</v>
          </cell>
          <cell r="B77" t="str">
            <v>Nur Eliza Faizaty, S.E., M.Si</v>
          </cell>
        </row>
        <row r="78">
          <cell r="A78" t="str">
            <v>NGT</v>
          </cell>
          <cell r="B78" t="str">
            <v>Ngatini</v>
          </cell>
        </row>
        <row r="79">
          <cell r="A79" t="str">
            <v>NRS</v>
          </cell>
          <cell r="B79" t="str">
            <v>Nova Ridho Sisprasojo, S.Sn., M.Ds.</v>
          </cell>
        </row>
        <row r="80">
          <cell r="A80" t="str">
            <v>NWF</v>
          </cell>
          <cell r="B80" t="str">
            <v>Niswatun Faria, S.T., M.Sc</v>
          </cell>
        </row>
        <row r="81">
          <cell r="A81" t="str">
            <v>OAC</v>
          </cell>
          <cell r="B81" t="str">
            <v>Oki Anita Candra Dewi, S.T., M.T.</v>
          </cell>
        </row>
        <row r="82">
          <cell r="A82" t="str">
            <v>OPP</v>
          </cell>
          <cell r="B82" t="str">
            <v>Okky Putri Prastuti, S.T., M.T.</v>
          </cell>
        </row>
        <row r="83">
          <cell r="A83" t="str">
            <v>PAY</v>
          </cell>
          <cell r="B83" t="str">
            <v>Puji Andayani, S.Si., M.Si., M.Sc.</v>
          </cell>
        </row>
        <row r="84">
          <cell r="A84" t="str">
            <v>PRM</v>
          </cell>
          <cell r="B84" t="str">
            <v>Paramita Setyaningrum, S.T., M.T.</v>
          </cell>
        </row>
        <row r="85">
          <cell r="A85" t="str">
            <v>PTA</v>
          </cell>
          <cell r="B85" t="str">
            <v>Putri Amelia, S.T., M.T., M.Eng.</v>
          </cell>
        </row>
        <row r="86">
          <cell r="A86" t="str">
            <v>QAN</v>
          </cell>
          <cell r="B86" t="str">
            <v>Qurrotin A'yunina Maulida Okta Arifianti, S.T., M.S.</v>
          </cell>
        </row>
        <row r="87">
          <cell r="A87" t="str">
            <v>RHY</v>
          </cell>
          <cell r="B87" t="str">
            <v>Ruktin Handayani, S.Kom., M.Kom.</v>
          </cell>
        </row>
        <row r="88">
          <cell r="A88" t="str">
            <v>RNA</v>
          </cell>
          <cell r="B88" t="str">
            <v>Rizky Noviasri, S.Sn., M.Ds.</v>
          </cell>
        </row>
        <row r="89">
          <cell r="A89" t="str">
            <v>RNU</v>
          </cell>
          <cell r="B89" t="str">
            <v>Roostikasari Nugraheni, S.Hum., M.Med.Kom.</v>
          </cell>
        </row>
        <row r="90">
          <cell r="A90" t="str">
            <v>RRI</v>
          </cell>
          <cell r="B90" t="str">
            <v>Rosa Rilantiana, S.E., M.M.</v>
          </cell>
        </row>
        <row r="91">
          <cell r="A91" t="str">
            <v>RSD</v>
          </cell>
          <cell r="B91" t="str">
            <v>Renny Sari Dewi, S.Kom., M.Kom.</v>
          </cell>
        </row>
        <row r="92">
          <cell r="A92" t="str">
            <v>SEW</v>
          </cell>
          <cell r="B92" t="str">
            <v>Stefanus Eko Wiratno, S.T., M.Sc.</v>
          </cell>
        </row>
        <row r="93">
          <cell r="A93" t="str">
            <v>SFI</v>
          </cell>
          <cell r="B93" t="str">
            <v>Sugeng Firdausi, S.E., Ak.,  M.M. MIFP.</v>
          </cell>
        </row>
        <row r="94">
          <cell r="A94" t="str">
            <v>SKS</v>
          </cell>
          <cell r="B94" t="str">
            <v>Shanti Kartika Sari, S.T.,M.S.</v>
          </cell>
        </row>
        <row r="95">
          <cell r="A95" t="str">
            <v>SNM</v>
          </cell>
          <cell r="B95" t="str">
            <v>Siti Nurminarsih, S.T., M.T.</v>
          </cell>
        </row>
        <row r="96">
          <cell r="A96" t="str">
            <v>SUW</v>
          </cell>
          <cell r="B96" t="str">
            <v>Sekarsari Utami Wijaya, S.Stat</v>
          </cell>
        </row>
        <row r="97">
          <cell r="A97" t="str">
            <v>TAN</v>
          </cell>
          <cell r="B97" t="str">
            <v>Tyas Ajeng Nastiti, S.T., M.Ds.</v>
          </cell>
        </row>
        <row r="98">
          <cell r="A98" t="str">
            <v>TKN</v>
          </cell>
          <cell r="B98" t="str">
            <v>Tikno, S.T., M.Kom.</v>
          </cell>
        </row>
        <row r="99">
          <cell r="A99" t="str">
            <v>TQB</v>
          </cell>
          <cell r="B99" t="str">
            <v>Taufiqotul Bariyah S.Kom., M.IM</v>
          </cell>
        </row>
        <row r="100">
          <cell r="A100" t="str">
            <v>TSJ</v>
          </cell>
          <cell r="B100" t="str">
            <v>Prof. Tjiptohadi Sawarjuwono, M.Ec., Ph.D., CPA., CA.</v>
          </cell>
        </row>
        <row r="101">
          <cell r="A101" t="str">
            <v>TWA</v>
          </cell>
          <cell r="B101" t="str">
            <v>Trias Widha Andari, S.Sn., M.Ds.</v>
          </cell>
        </row>
        <row r="102">
          <cell r="A102" t="str">
            <v>UAG</v>
          </cell>
          <cell r="B102" t="str">
            <v>Ufafa Anggarini, S.Si., M.Si.</v>
          </cell>
        </row>
        <row r="103">
          <cell r="A103" t="str">
            <v>VPU</v>
          </cell>
          <cell r="B103" t="str">
            <v>Victor  Purnomo, S.T., M.T., M.Sc.</v>
          </cell>
        </row>
        <row r="104">
          <cell r="A104" t="str">
            <v>WAH</v>
          </cell>
          <cell r="B104" t="str">
            <v>Wahyu Agung Handono, S.E., M.M.</v>
          </cell>
        </row>
        <row r="105">
          <cell r="A105" t="str">
            <v>WKS</v>
          </cell>
          <cell r="B105" t="str">
            <v>Wahyu Kamal Setiawan, S.TP., M.Si.</v>
          </cell>
        </row>
        <row r="106">
          <cell r="A106" t="str">
            <v>WND</v>
          </cell>
          <cell r="B106" t="str">
            <v>Winda Narulidea, S.T., M.T.</v>
          </cell>
        </row>
        <row r="107">
          <cell r="A107" t="str">
            <v>YIR</v>
          </cell>
          <cell r="B107" t="str">
            <v>Yohanes Indra Riskajaya, S.Kom., M.Kom</v>
          </cell>
        </row>
        <row r="108">
          <cell r="A108" t="str">
            <v>YNK</v>
          </cell>
          <cell r="B108" t="str">
            <v>Yuni Kurniati, S.T., M.T.</v>
          </cell>
        </row>
        <row r="109">
          <cell r="A109" t="str">
            <v>YNT</v>
          </cell>
          <cell r="B109" t="str">
            <v>Yanuar Trisnowati, S.E., M.M.</v>
          </cell>
        </row>
        <row r="110">
          <cell r="A110" t="str">
            <v>YSD</v>
          </cell>
          <cell r="B110" t="str">
            <v>Yogantara Setya Dharmawan, S.Kom., M.Sc</v>
          </cell>
        </row>
        <row r="111">
          <cell r="A111" t="str">
            <v>YSM</v>
          </cell>
          <cell r="B111" t="str">
            <v>Yunita Siti Mardhiyyah</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ban Mengajar"/>
      <sheetName val="Dosen"/>
      <sheetName val="MG"/>
      <sheetName val="AK"/>
      <sheetName val="ES"/>
      <sheetName val="MR"/>
      <sheetName val="TL"/>
      <sheetName val="TK"/>
      <sheetName val="TK tanpa UAG"/>
      <sheetName val="TIP"/>
      <sheetName val="IF"/>
      <sheetName val="SI"/>
      <sheetName val="DKV"/>
    </sheetNames>
    <sheetDataSet>
      <sheetData sheetId="0">
        <row r="2">
          <cell r="F2" t="str">
            <v>ANW</v>
          </cell>
        </row>
        <row r="3">
          <cell r="F3" t="str">
            <v>RRI</v>
          </cell>
        </row>
        <row r="4">
          <cell r="F4" t="str">
            <v>ANW</v>
          </cell>
        </row>
        <row r="5">
          <cell r="F5" t="str">
            <v>ANW</v>
          </cell>
        </row>
        <row r="6">
          <cell r="F6" t="str">
            <v>MDI</v>
          </cell>
        </row>
        <row r="7">
          <cell r="F7" t="str">
            <v>ALF</v>
          </cell>
        </row>
        <row r="8">
          <cell r="F8" t="str">
            <v>ALF</v>
          </cell>
        </row>
        <row r="9">
          <cell r="F9" t="str">
            <v>ALF</v>
          </cell>
        </row>
        <row r="10">
          <cell r="F10" t="str">
            <v>ANW</v>
          </cell>
        </row>
        <row r="11">
          <cell r="F11" t="str">
            <v>ALF</v>
          </cell>
        </row>
        <row r="12">
          <cell r="F12" t="str">
            <v>ALF</v>
          </cell>
        </row>
        <row r="13">
          <cell r="F13" t="str">
            <v>MAK</v>
          </cell>
        </row>
        <row r="17">
          <cell r="F17" t="str">
            <v>BMR</v>
          </cell>
        </row>
        <row r="18">
          <cell r="F18" t="str">
            <v>ELD</v>
          </cell>
        </row>
        <row r="19">
          <cell r="F19" t="str">
            <v>ADM</v>
          </cell>
        </row>
        <row r="20">
          <cell r="F20" t="str">
            <v>NEF</v>
          </cell>
        </row>
        <row r="21">
          <cell r="F21" t="str">
            <v>NEF</v>
          </cell>
        </row>
        <row r="22">
          <cell r="F22" t="str">
            <v>NEF</v>
          </cell>
        </row>
        <row r="23">
          <cell r="F23" t="str">
            <v>NEF</v>
          </cell>
        </row>
        <row r="24">
          <cell r="F24" t="str">
            <v>NEF</v>
          </cell>
        </row>
        <row r="25">
          <cell r="F25" t="str">
            <v>NEF</v>
          </cell>
        </row>
        <row r="26">
          <cell r="F26" t="str">
            <v>AHD</v>
          </cell>
        </row>
        <row r="27">
          <cell r="F27" t="str">
            <v>AHD</v>
          </cell>
        </row>
        <row r="28">
          <cell r="F28" t="str">
            <v>AHD</v>
          </cell>
        </row>
        <row r="36">
          <cell r="F36" t="str">
            <v>LRS</v>
          </cell>
        </row>
        <row r="37">
          <cell r="F37" t="str">
            <v>LRS</v>
          </cell>
        </row>
        <row r="38">
          <cell r="F38" t="str">
            <v>LRS</v>
          </cell>
        </row>
        <row r="39">
          <cell r="F39" t="str">
            <v>LRS</v>
          </cell>
        </row>
        <row r="40">
          <cell r="F40" t="str">
            <v>LRS</v>
          </cell>
        </row>
        <row r="41">
          <cell r="F41" t="str">
            <v>LRS</v>
          </cell>
        </row>
        <row r="42">
          <cell r="F42" t="str">
            <v>MAK</v>
          </cell>
        </row>
        <row r="43">
          <cell r="F43" t="str">
            <v>MMK</v>
          </cell>
        </row>
        <row r="44">
          <cell r="F44" t="str">
            <v>MMK</v>
          </cell>
        </row>
        <row r="45">
          <cell r="F45" t="str">
            <v>MMK</v>
          </cell>
        </row>
        <row r="46">
          <cell r="F46" t="str">
            <v>MMK</v>
          </cell>
        </row>
        <row r="47">
          <cell r="F47" t="str">
            <v>MMK</v>
          </cell>
        </row>
        <row r="48">
          <cell r="F48" t="str">
            <v>MDI</v>
          </cell>
        </row>
        <row r="49">
          <cell r="F49" t="str">
            <v>MDI</v>
          </cell>
        </row>
        <row r="50">
          <cell r="F50" t="str">
            <v>GTK</v>
          </cell>
        </row>
        <row r="51">
          <cell r="F51" t="str">
            <v>MDI</v>
          </cell>
        </row>
        <row r="52">
          <cell r="F52" t="str">
            <v>RNU</v>
          </cell>
        </row>
        <row r="53">
          <cell r="F53" t="str">
            <v>MDI</v>
          </cell>
        </row>
        <row r="55">
          <cell r="F55" t="str">
            <v>RNU</v>
          </cell>
        </row>
        <row r="56">
          <cell r="F56" t="str">
            <v>RNU</v>
          </cell>
        </row>
        <row r="57">
          <cell r="F57" t="str">
            <v>CHB</v>
          </cell>
        </row>
        <row r="58">
          <cell r="F58" t="str">
            <v>CHB</v>
          </cell>
        </row>
        <row r="59">
          <cell r="F59" t="str">
            <v>GTK</v>
          </cell>
        </row>
        <row r="60">
          <cell r="F60" t="str">
            <v>GTK</v>
          </cell>
        </row>
        <row r="61">
          <cell r="F61" t="str">
            <v>GTK</v>
          </cell>
        </row>
        <row r="62">
          <cell r="F62" t="str">
            <v>GTK</v>
          </cell>
        </row>
        <row r="63">
          <cell r="F63" t="str">
            <v>JSM</v>
          </cell>
        </row>
        <row r="64">
          <cell r="F64" t="str">
            <v>JSM</v>
          </cell>
        </row>
        <row r="65">
          <cell r="F65" t="str">
            <v>TSJ</v>
          </cell>
        </row>
        <row r="66">
          <cell r="F66" t="str">
            <v>RRI</v>
          </cell>
        </row>
        <row r="67">
          <cell r="F67" t="str">
            <v>RRI</v>
          </cell>
        </row>
        <row r="68">
          <cell r="F68" t="str">
            <v>RRI</v>
          </cell>
        </row>
        <row r="69">
          <cell r="F69" t="str">
            <v>RRI</v>
          </cell>
        </row>
        <row r="70">
          <cell r="F70" t="str">
            <v>SUW</v>
          </cell>
        </row>
        <row r="80">
          <cell r="F80" t="str">
            <v>YNT</v>
          </cell>
        </row>
        <row r="81">
          <cell r="F81" t="str">
            <v>YNT</v>
          </cell>
        </row>
        <row r="82">
          <cell r="F82" t="str">
            <v>SFI</v>
          </cell>
        </row>
        <row r="83">
          <cell r="F83" t="str">
            <v>YNT</v>
          </cell>
        </row>
        <row r="84">
          <cell r="F84" t="str">
            <v>YNT</v>
          </cell>
        </row>
        <row r="85">
          <cell r="F85" t="str">
            <v>YNT</v>
          </cell>
        </row>
        <row r="88">
          <cell r="F88" t="str">
            <v>HNM</v>
          </cell>
        </row>
        <row r="93">
          <cell r="F93" t="str">
            <v>SFI</v>
          </cell>
        </row>
        <row r="96">
          <cell r="F96" t="str">
            <v>AFT</v>
          </cell>
        </row>
        <row r="97">
          <cell r="F97" t="str">
            <v>ELD</v>
          </cell>
        </row>
        <row r="100">
          <cell r="F100" t="str">
            <v>ELD</v>
          </cell>
        </row>
        <row r="101">
          <cell r="F101" t="str">
            <v>KNH</v>
          </cell>
        </row>
        <row r="102">
          <cell r="F102" t="str">
            <v>AFT</v>
          </cell>
        </row>
        <row r="103">
          <cell r="F103" t="str">
            <v>ELD</v>
          </cell>
        </row>
        <row r="104">
          <cell r="F104" t="str">
            <v>KNH</v>
          </cell>
        </row>
        <row r="105">
          <cell r="F105" t="str">
            <v>AFT</v>
          </cell>
        </row>
        <row r="107">
          <cell r="F107" t="str">
            <v>MAK</v>
          </cell>
        </row>
        <row r="108">
          <cell r="F108" t="str">
            <v>ELD</v>
          </cell>
        </row>
        <row r="109">
          <cell r="F109" t="str">
            <v>SFI</v>
          </cell>
        </row>
        <row r="110">
          <cell r="F110" t="str">
            <v>HNM</v>
          </cell>
        </row>
        <row r="113">
          <cell r="F113" t="str">
            <v>HNM</v>
          </cell>
        </row>
        <row r="118">
          <cell r="F118" t="str">
            <v>SFI</v>
          </cell>
        </row>
        <row r="121">
          <cell r="F121" t="str">
            <v>AFT</v>
          </cell>
        </row>
        <row r="122">
          <cell r="F122" t="str">
            <v>MAK</v>
          </cell>
        </row>
        <row r="125">
          <cell r="F125" t="str">
            <v>FRD</v>
          </cell>
        </row>
        <row r="126">
          <cell r="F126" t="str">
            <v>KNH</v>
          </cell>
        </row>
        <row r="127">
          <cell r="F127" t="str">
            <v>AFT</v>
          </cell>
        </row>
        <row r="128">
          <cell r="F128" t="str">
            <v>HNM</v>
          </cell>
        </row>
        <row r="129">
          <cell r="F129" t="str">
            <v>KNH</v>
          </cell>
        </row>
        <row r="130">
          <cell r="F130" t="str">
            <v>FRD</v>
          </cell>
        </row>
        <row r="133">
          <cell r="F133" t="str">
            <v>WAH</v>
          </cell>
        </row>
        <row r="134">
          <cell r="F134" t="str">
            <v>MHA</v>
          </cell>
        </row>
        <row r="137">
          <cell r="F137" t="str">
            <v>BAT</v>
          </cell>
        </row>
        <row r="138">
          <cell r="F138" t="str">
            <v>EMH</v>
          </cell>
        </row>
        <row r="139">
          <cell r="F139" t="str">
            <v>AHD</v>
          </cell>
        </row>
        <row r="140">
          <cell r="F140" t="str">
            <v>ADM</v>
          </cell>
        </row>
        <row r="141">
          <cell r="F141" t="str">
            <v>MFT</v>
          </cell>
        </row>
        <row r="142">
          <cell r="F142" t="str">
            <v>FRD</v>
          </cell>
        </row>
        <row r="143">
          <cell r="F143" t="str">
            <v>EMH</v>
          </cell>
        </row>
        <row r="144">
          <cell r="F144" t="str">
            <v>MHA</v>
          </cell>
        </row>
        <row r="145">
          <cell r="F145" t="str">
            <v>BAT</v>
          </cell>
        </row>
        <row r="146">
          <cell r="F146" t="str">
            <v>ADM</v>
          </cell>
        </row>
        <row r="148">
          <cell r="F148" t="str">
            <v>MHA</v>
          </cell>
        </row>
        <row r="149">
          <cell r="F149" t="str">
            <v>AHD</v>
          </cell>
        </row>
        <row r="150">
          <cell r="F150" t="str">
            <v>WAH</v>
          </cell>
        </row>
        <row r="151">
          <cell r="F151" t="str">
            <v>CHB</v>
          </cell>
        </row>
        <row r="152">
          <cell r="F152" t="str">
            <v>BAT</v>
          </cell>
        </row>
        <row r="153">
          <cell r="F153" t="str">
            <v>Kartika</v>
          </cell>
        </row>
        <row r="154">
          <cell r="F154" t="str">
            <v>EMH</v>
          </cell>
        </row>
        <row r="160">
          <cell r="F160" t="str">
            <v>MHA</v>
          </cell>
        </row>
        <row r="161">
          <cell r="F161" t="str">
            <v>WAH</v>
          </cell>
        </row>
        <row r="162">
          <cell r="F162" t="str">
            <v>ADM</v>
          </cell>
        </row>
        <row r="163">
          <cell r="F163" t="str">
            <v>PAY</v>
          </cell>
        </row>
        <row r="164">
          <cell r="F164" t="str">
            <v>EFN</v>
          </cell>
        </row>
        <row r="165">
          <cell r="F165" t="str">
            <v>ELS</v>
          </cell>
        </row>
        <row r="166">
          <cell r="F166" t="str">
            <v>NWF</v>
          </cell>
        </row>
        <row r="167">
          <cell r="F167" t="str">
            <v>EFN</v>
          </cell>
        </row>
        <row r="168">
          <cell r="F168" t="str">
            <v>EFN</v>
          </cell>
        </row>
        <row r="170">
          <cell r="F170" t="str">
            <v>QAN</v>
          </cell>
        </row>
        <row r="171">
          <cell r="F171" t="str">
            <v>AEP</v>
          </cell>
        </row>
        <row r="172">
          <cell r="F172" t="str">
            <v>QAN</v>
          </cell>
        </row>
        <row r="173">
          <cell r="F173" t="str">
            <v>NWF</v>
          </cell>
        </row>
        <row r="174">
          <cell r="F174" t="str">
            <v>NWF</v>
          </cell>
        </row>
        <row r="177">
          <cell r="F177" t="str">
            <v>QAN</v>
          </cell>
        </row>
        <row r="178">
          <cell r="F178" t="str">
            <v>EFN</v>
          </cell>
        </row>
        <row r="179">
          <cell r="F179" t="str">
            <v>KKU</v>
          </cell>
        </row>
        <row r="180">
          <cell r="F180" t="str">
            <v>KKU</v>
          </cell>
        </row>
        <row r="181">
          <cell r="F181" t="str">
            <v>IWM</v>
          </cell>
        </row>
        <row r="182">
          <cell r="F182" t="str">
            <v>AEP</v>
          </cell>
        </row>
        <row r="183">
          <cell r="F183" t="str">
            <v>IWM</v>
          </cell>
        </row>
        <row r="184">
          <cell r="F184" t="str">
            <v>AEP</v>
          </cell>
        </row>
        <row r="185">
          <cell r="F185" t="str">
            <v>KKU</v>
          </cell>
        </row>
        <row r="186">
          <cell r="F186" t="str">
            <v>EFN</v>
          </cell>
        </row>
        <row r="187">
          <cell r="F187" t="str">
            <v>IWM</v>
          </cell>
        </row>
        <row r="188">
          <cell r="F188" t="str">
            <v>NWF</v>
          </cell>
        </row>
        <row r="189">
          <cell r="F189" t="str">
            <v>QAN</v>
          </cell>
        </row>
        <row r="190">
          <cell r="F190" t="str">
            <v>QAN</v>
          </cell>
        </row>
        <row r="192">
          <cell r="F192" t="str">
            <v>OAC</v>
          </cell>
        </row>
        <row r="196">
          <cell r="F196" t="str">
            <v>NGT</v>
          </cell>
        </row>
        <row r="200">
          <cell r="F200" t="str">
            <v>MFI</v>
          </cell>
        </row>
        <row r="201">
          <cell r="F201" t="str">
            <v>SUW</v>
          </cell>
        </row>
        <row r="202">
          <cell r="F202" t="str">
            <v>SNM</v>
          </cell>
        </row>
        <row r="203">
          <cell r="F203" t="str">
            <v>SUW</v>
          </cell>
        </row>
        <row r="204">
          <cell r="F204" t="str">
            <v>SUW</v>
          </cell>
        </row>
        <row r="205">
          <cell r="F205" t="str">
            <v>MMP</v>
          </cell>
        </row>
        <row r="207">
          <cell r="F207" t="str">
            <v>MMP</v>
          </cell>
        </row>
        <row r="208">
          <cell r="F208" t="str">
            <v>MMK</v>
          </cell>
        </row>
        <row r="209">
          <cell r="F209" t="str">
            <v>WND</v>
          </cell>
        </row>
        <row r="210">
          <cell r="F210" t="str">
            <v>WND</v>
          </cell>
        </row>
        <row r="211">
          <cell r="F211" t="str">
            <v>MMP</v>
          </cell>
        </row>
        <row r="212">
          <cell r="F212" t="str">
            <v>OAC</v>
          </cell>
        </row>
        <row r="213">
          <cell r="F213" t="str">
            <v>SNM</v>
          </cell>
        </row>
        <row r="214">
          <cell r="F214" t="str">
            <v>MMP</v>
          </cell>
        </row>
        <row r="215">
          <cell r="F215" t="str">
            <v>OAC</v>
          </cell>
        </row>
        <row r="216">
          <cell r="F216" t="str">
            <v>SNM</v>
          </cell>
        </row>
        <row r="219">
          <cell r="F219" t="str">
            <v>MFI</v>
          </cell>
        </row>
        <row r="221">
          <cell r="F221" t="str">
            <v>SNM</v>
          </cell>
        </row>
        <row r="222">
          <cell r="F222" t="str">
            <v>WND</v>
          </cell>
        </row>
        <row r="223">
          <cell r="F223" t="str">
            <v>MFI</v>
          </cell>
        </row>
        <row r="225">
          <cell r="F225" t="str">
            <v>SNM</v>
          </cell>
        </row>
        <row r="226">
          <cell r="F226" t="str">
            <v>MDI</v>
          </cell>
        </row>
        <row r="227">
          <cell r="F227" t="str">
            <v>MFI</v>
          </cell>
        </row>
        <row r="229">
          <cell r="F229" t="str">
            <v>MFI</v>
          </cell>
        </row>
        <row r="230">
          <cell r="F230" t="str">
            <v>OAC</v>
          </cell>
        </row>
        <row r="231">
          <cell r="F231" t="str">
            <v>OAC</v>
          </cell>
        </row>
        <row r="233">
          <cell r="F233" t="str">
            <v>YNK</v>
          </cell>
        </row>
        <row r="234">
          <cell r="F234" t="str">
            <v>FAP</v>
          </cell>
        </row>
        <row r="235">
          <cell r="F235" t="str">
            <v>IWM</v>
          </cell>
        </row>
        <row r="236">
          <cell r="F236" t="str">
            <v>ARH</v>
          </cell>
        </row>
        <row r="237">
          <cell r="F237" t="str">
            <v>OPP</v>
          </cell>
        </row>
        <row r="238">
          <cell r="F238" t="str">
            <v>YNK</v>
          </cell>
        </row>
        <row r="239">
          <cell r="F239" t="str">
            <v>YNK</v>
          </cell>
        </row>
        <row r="240">
          <cell r="F240" t="str">
            <v>FAP</v>
          </cell>
        </row>
        <row r="241">
          <cell r="F241" t="str">
            <v>ELS</v>
          </cell>
        </row>
        <row r="242">
          <cell r="F242" t="str">
            <v>MHN</v>
          </cell>
        </row>
        <row r="243">
          <cell r="F243" t="str">
            <v>YNK</v>
          </cell>
        </row>
        <row r="245">
          <cell r="F245" t="str">
            <v>ARH</v>
          </cell>
        </row>
        <row r="246">
          <cell r="F246" t="str">
            <v>ELS</v>
          </cell>
        </row>
        <row r="247">
          <cell r="F247" t="str">
            <v>OPP</v>
          </cell>
        </row>
        <row r="248">
          <cell r="F248" t="str">
            <v>OPP</v>
          </cell>
        </row>
        <row r="250">
          <cell r="F250" t="str">
            <v>MHN</v>
          </cell>
        </row>
        <row r="251">
          <cell r="F251" t="str">
            <v>YNK</v>
          </cell>
        </row>
        <row r="252">
          <cell r="F252" t="str">
            <v>RHY</v>
          </cell>
        </row>
        <row r="253">
          <cell r="F253" t="str">
            <v>ARH</v>
          </cell>
        </row>
        <row r="254">
          <cell r="F254" t="str">
            <v>ADK</v>
          </cell>
        </row>
        <row r="255">
          <cell r="F255" t="str">
            <v>MHN</v>
          </cell>
        </row>
        <row r="257">
          <cell r="F257" t="str">
            <v>ELS</v>
          </cell>
        </row>
        <row r="259">
          <cell r="F259" t="str">
            <v>ELS</v>
          </cell>
        </row>
        <row r="260">
          <cell r="F260" t="str">
            <v>FAP</v>
          </cell>
        </row>
        <row r="261">
          <cell r="F261" t="str">
            <v>IWM</v>
          </cell>
        </row>
        <row r="262">
          <cell r="F262" t="str">
            <v>FAP</v>
          </cell>
        </row>
        <row r="263">
          <cell r="F263" t="str">
            <v>ARH</v>
          </cell>
        </row>
        <row r="264">
          <cell r="F264" t="str">
            <v>MHN</v>
          </cell>
        </row>
        <row r="266">
          <cell r="F266" t="str">
            <v>OPP</v>
          </cell>
        </row>
        <row r="268">
          <cell r="F268" t="str">
            <v>EFN</v>
          </cell>
        </row>
        <row r="270">
          <cell r="F270" t="str">
            <v>EMH</v>
          </cell>
        </row>
        <row r="271">
          <cell r="F271" t="str">
            <v>YSM</v>
          </cell>
        </row>
        <row r="272">
          <cell r="F272" t="str">
            <v>AAG</v>
          </cell>
        </row>
        <row r="274">
          <cell r="F274" t="str">
            <v>IAC</v>
          </cell>
        </row>
        <row r="275">
          <cell r="F275" t="str">
            <v>PRM</v>
          </cell>
        </row>
        <row r="276">
          <cell r="F276" t="str">
            <v>PRM</v>
          </cell>
        </row>
        <row r="277">
          <cell r="F277" t="str">
            <v>AAG</v>
          </cell>
        </row>
        <row r="278">
          <cell r="F278" t="str">
            <v>AAG</v>
          </cell>
        </row>
        <row r="279">
          <cell r="F279" t="str">
            <v>YSM</v>
          </cell>
        </row>
        <row r="280">
          <cell r="F280" t="str">
            <v>ARH</v>
          </cell>
        </row>
        <row r="281">
          <cell r="F281" t="str">
            <v>IAC</v>
          </cell>
        </row>
        <row r="282">
          <cell r="F282" t="str">
            <v>PRM</v>
          </cell>
        </row>
        <row r="283">
          <cell r="F283" t="str">
            <v>IAC</v>
          </cell>
        </row>
        <row r="284">
          <cell r="F284" t="str">
            <v>YSM</v>
          </cell>
        </row>
        <row r="285">
          <cell r="F285" t="str">
            <v>PRM</v>
          </cell>
        </row>
        <row r="288">
          <cell r="F288" t="str">
            <v>PRM</v>
          </cell>
        </row>
        <row r="289">
          <cell r="F289" t="str">
            <v>AAG</v>
          </cell>
        </row>
        <row r="290">
          <cell r="F290" t="str">
            <v>AAG</v>
          </cell>
        </row>
        <row r="291">
          <cell r="F291" t="str">
            <v>DYS</v>
          </cell>
        </row>
        <row r="292">
          <cell r="F292" t="str">
            <v>DYS</v>
          </cell>
        </row>
        <row r="293">
          <cell r="F293" t="str">
            <v>DYS</v>
          </cell>
        </row>
        <row r="295">
          <cell r="F295" t="str">
            <v>MAR</v>
          </cell>
        </row>
        <row r="296">
          <cell r="F296" t="str">
            <v>NGT</v>
          </cell>
        </row>
        <row r="297">
          <cell r="F297" t="str">
            <v>PAY</v>
          </cell>
        </row>
        <row r="298">
          <cell r="F298" t="str">
            <v>DSP</v>
          </cell>
        </row>
        <row r="299">
          <cell r="F299" t="str">
            <v>RHY</v>
          </cell>
        </row>
        <row r="301">
          <cell r="F301" t="str">
            <v>LHY</v>
          </cell>
        </row>
        <row r="302">
          <cell r="F302" t="str">
            <v>MAR</v>
          </cell>
        </row>
        <row r="303">
          <cell r="F303" t="str">
            <v>BMR</v>
          </cell>
        </row>
        <row r="304">
          <cell r="F304" t="str">
            <v>TQB</v>
          </cell>
        </row>
        <row r="305">
          <cell r="F305" t="str">
            <v>YIR</v>
          </cell>
        </row>
        <row r="307">
          <cell r="F307" t="str">
            <v>TQB</v>
          </cell>
        </row>
        <row r="308">
          <cell r="F308" t="str">
            <v>LHY</v>
          </cell>
        </row>
        <row r="309">
          <cell r="F309" t="str">
            <v>DSP</v>
          </cell>
        </row>
        <row r="310">
          <cell r="F310" t="str">
            <v>YIR</v>
          </cell>
        </row>
        <row r="311">
          <cell r="F311" t="str">
            <v>RHY</v>
          </cell>
        </row>
        <row r="312">
          <cell r="F312" t="str">
            <v>MAR</v>
          </cell>
        </row>
        <row r="315">
          <cell r="F315" t="str">
            <v>TQB</v>
          </cell>
        </row>
        <row r="317">
          <cell r="F317" t="str">
            <v>TQB</v>
          </cell>
        </row>
        <row r="318">
          <cell r="F318" t="str">
            <v>LHY</v>
          </cell>
        </row>
        <row r="319">
          <cell r="F319" t="str">
            <v>DSP</v>
          </cell>
        </row>
        <row r="320">
          <cell r="F320" t="str">
            <v>DSP</v>
          </cell>
        </row>
        <row r="322">
          <cell r="F322" t="str">
            <v>MAR</v>
          </cell>
        </row>
        <row r="323">
          <cell r="F323" t="str">
            <v>NGT</v>
          </cell>
        </row>
        <row r="324">
          <cell r="F324" t="str">
            <v>PAY</v>
          </cell>
        </row>
        <row r="325">
          <cell r="F325" t="str">
            <v>DSP</v>
          </cell>
        </row>
        <row r="326">
          <cell r="F326" t="str">
            <v>RHY</v>
          </cell>
        </row>
        <row r="328">
          <cell r="F328" t="str">
            <v>LHY</v>
          </cell>
        </row>
        <row r="329">
          <cell r="F329" t="str">
            <v>MAR</v>
          </cell>
        </row>
        <row r="330">
          <cell r="F330" t="str">
            <v>NGT</v>
          </cell>
        </row>
        <row r="331">
          <cell r="F331" t="str">
            <v>TQB</v>
          </cell>
        </row>
        <row r="332">
          <cell r="F332" t="str">
            <v>YIR</v>
          </cell>
        </row>
        <row r="334">
          <cell r="F334" t="str">
            <v>TQB</v>
          </cell>
        </row>
        <row r="335">
          <cell r="F335" t="str">
            <v>LHY</v>
          </cell>
        </row>
        <row r="336">
          <cell r="F336" t="str">
            <v>DSP</v>
          </cell>
        </row>
        <row r="337">
          <cell r="F337" t="str">
            <v>YIR</v>
          </cell>
        </row>
        <row r="338">
          <cell r="F338" t="str">
            <v>RHY</v>
          </cell>
        </row>
        <row r="339">
          <cell r="F339" t="str">
            <v>MAR</v>
          </cell>
        </row>
        <row r="343">
          <cell r="F343" t="str">
            <v>BMR</v>
          </cell>
        </row>
        <row r="344">
          <cell r="F344" t="str">
            <v>PAY</v>
          </cell>
        </row>
        <row r="346">
          <cell r="F346" t="str">
            <v>RSD</v>
          </cell>
        </row>
        <row r="347">
          <cell r="F347" t="str">
            <v>PAY</v>
          </cell>
        </row>
        <row r="348">
          <cell r="F348" t="str">
            <v>CWU</v>
          </cell>
        </row>
        <row r="351">
          <cell r="F351" t="str">
            <v>BMR</v>
          </cell>
        </row>
        <row r="352">
          <cell r="F352" t="str">
            <v>CWU</v>
          </cell>
        </row>
        <row r="353">
          <cell r="F353" t="str">
            <v>CWU</v>
          </cell>
        </row>
        <row r="354">
          <cell r="F354" t="str">
            <v>RSD</v>
          </cell>
        </row>
        <row r="355">
          <cell r="F355" t="str">
            <v>CWU</v>
          </cell>
        </row>
        <row r="357">
          <cell r="F357" t="str">
            <v>PTA</v>
          </cell>
        </row>
        <row r="358">
          <cell r="F358" t="str">
            <v>BMR</v>
          </cell>
        </row>
        <row r="359">
          <cell r="F359" t="str">
            <v>YSD</v>
          </cell>
        </row>
        <row r="360">
          <cell r="F360" t="str">
            <v>PTA</v>
          </cell>
        </row>
        <row r="361">
          <cell r="F361" t="str">
            <v>RSD</v>
          </cell>
        </row>
        <row r="362">
          <cell r="F362" t="str">
            <v>CWU</v>
          </cell>
        </row>
        <row r="364">
          <cell r="F364" t="str">
            <v>PTA</v>
          </cell>
        </row>
        <row r="365">
          <cell r="F365" t="str">
            <v>YSD</v>
          </cell>
        </row>
        <row r="366">
          <cell r="F366" t="str">
            <v>RSD</v>
          </cell>
        </row>
        <row r="369">
          <cell r="F369" t="str">
            <v>YSD</v>
          </cell>
        </row>
        <row r="370">
          <cell r="F370" t="str">
            <v>CWU</v>
          </cell>
        </row>
        <row r="371">
          <cell r="F371" t="str">
            <v>BMR</v>
          </cell>
        </row>
        <row r="373">
          <cell r="F373" t="str">
            <v>YSD</v>
          </cell>
        </row>
        <row r="374">
          <cell r="F374" t="str">
            <v>YSD</v>
          </cell>
        </row>
        <row r="378">
          <cell r="F378" t="str">
            <v>IRA</v>
          </cell>
        </row>
        <row r="379">
          <cell r="F379" t="str">
            <v>TWA</v>
          </cell>
        </row>
        <row r="380">
          <cell r="F380" t="str">
            <v>RNA</v>
          </cell>
        </row>
        <row r="381">
          <cell r="F381" t="str">
            <v>RNU</v>
          </cell>
        </row>
        <row r="382">
          <cell r="F382" t="str">
            <v>TAN</v>
          </cell>
        </row>
        <row r="386">
          <cell r="F386" t="str">
            <v>NRS</v>
          </cell>
        </row>
        <row r="387">
          <cell r="F387" t="str">
            <v>RNA</v>
          </cell>
        </row>
        <row r="388">
          <cell r="F388" t="str">
            <v>TAN</v>
          </cell>
        </row>
        <row r="389">
          <cell r="F389" t="str">
            <v>NRS</v>
          </cell>
        </row>
        <row r="390">
          <cell r="F390" t="str">
            <v>RNU</v>
          </cell>
        </row>
        <row r="392">
          <cell r="F392" t="str">
            <v>NRS</v>
          </cell>
        </row>
        <row r="393">
          <cell r="F393" t="str">
            <v>TAN</v>
          </cell>
        </row>
        <row r="394">
          <cell r="F394" t="str">
            <v>IRA</v>
          </cell>
        </row>
        <row r="395">
          <cell r="F395" t="str">
            <v>IRA</v>
          </cell>
        </row>
        <row r="396">
          <cell r="F396" t="str">
            <v>RNU</v>
          </cell>
        </row>
        <row r="397">
          <cell r="F397" t="str">
            <v>TAN</v>
          </cell>
        </row>
        <row r="399">
          <cell r="F399" t="str">
            <v>TWA</v>
          </cell>
        </row>
        <row r="400">
          <cell r="F400" t="str">
            <v>IRA</v>
          </cell>
        </row>
        <row r="401">
          <cell r="F401" t="str">
            <v>TAN</v>
          </cell>
        </row>
        <row r="402">
          <cell r="F402" t="str">
            <v>IRA</v>
          </cell>
        </row>
        <row r="403">
          <cell r="F403" t="str">
            <v>RNA</v>
          </cell>
        </row>
        <row r="404">
          <cell r="F404" t="str">
            <v>TWA</v>
          </cell>
        </row>
        <row r="407">
          <cell r="F407" t="str">
            <v>TWA</v>
          </cell>
        </row>
        <row r="408">
          <cell r="F408" t="str">
            <v>RNA</v>
          </cell>
        </row>
        <row r="409">
          <cell r="F409" t="str">
            <v>NRS</v>
          </cell>
        </row>
      </sheetData>
      <sheetData sheetId="1">
        <row r="1">
          <cell r="A1" t="str">
            <v>Kode Dosen</v>
          </cell>
          <cell r="B1" t="str">
            <v>Nama Dosen</v>
          </cell>
        </row>
        <row r="2">
          <cell r="A2">
            <v>0</v>
          </cell>
          <cell r="B2" t="str">
            <v>Digabung</v>
          </cell>
        </row>
        <row r="3">
          <cell r="A3" t="str">
            <v>AAG</v>
          </cell>
          <cell r="B3" t="str">
            <v>Azmi Alvian Gabriel, S.TP., M.P.</v>
          </cell>
        </row>
        <row r="4">
          <cell r="A4" t="str">
            <v>AAP</v>
          </cell>
          <cell r="B4" t="str">
            <v>Atikah Aghdhi Pratiwi, S.T., M.T</v>
          </cell>
        </row>
        <row r="5">
          <cell r="A5" t="str">
            <v>AAV</v>
          </cell>
          <cell r="B5" t="str">
            <v>Anindita Adikaputri Vinaya, S.T., M.T.</v>
          </cell>
        </row>
        <row r="6">
          <cell r="A6" t="str">
            <v>ADM</v>
          </cell>
          <cell r="B6" t="str">
            <v>Ahmad Dahlan Malik, B.A.(Hons). M.Ec.</v>
          </cell>
        </row>
        <row r="7">
          <cell r="A7" t="str">
            <v>AEP</v>
          </cell>
          <cell r="B7" t="str">
            <v>Andhika Eko Prasetyo, S.T., M.T.</v>
          </cell>
        </row>
        <row r="8">
          <cell r="A8" t="str">
            <v>AFT</v>
          </cell>
          <cell r="B8" t="str">
            <v>Alfiana Fitri, SA., MA</v>
          </cell>
        </row>
        <row r="9">
          <cell r="A9" t="str">
            <v>AHD</v>
          </cell>
          <cell r="B9" t="str">
            <v>Ahmad Hudaifah, S.E., M.Ec.</v>
          </cell>
        </row>
        <row r="10">
          <cell r="A10" t="str">
            <v>ALF</v>
          </cell>
          <cell r="B10" t="str">
            <v>Alfina, S.M., M.M.</v>
          </cell>
        </row>
        <row r="11">
          <cell r="A11" t="str">
            <v>ANW</v>
          </cell>
          <cell r="B11" t="str">
            <v>Aditya Narendra Wardhana, S.T., M.SM.</v>
          </cell>
        </row>
        <row r="12">
          <cell r="A12" t="str">
            <v>ARD</v>
          </cell>
          <cell r="B12" t="str">
            <v>Ahmad Rusdiansyah</v>
          </cell>
        </row>
        <row r="13">
          <cell r="A13" t="str">
            <v>ARH</v>
          </cell>
          <cell r="B13" t="str">
            <v>Ani Rahmat</v>
          </cell>
        </row>
        <row r="14">
          <cell r="A14" t="str">
            <v>ATL</v>
          </cell>
          <cell r="B14" t="str">
            <v>Artya Lathifah, S.T., M.Sc., MBA.</v>
          </cell>
        </row>
        <row r="15">
          <cell r="A15" t="str">
            <v>AZD</v>
          </cell>
          <cell r="B15" t="str">
            <v>Andi Zulfikar Darussalam, M.Si., M.Hum.</v>
          </cell>
        </row>
        <row r="16">
          <cell r="A16" t="str">
            <v>BAT</v>
          </cell>
          <cell r="B16" t="str">
            <v>Bambang Tutuko, S.E., M.M., CFP</v>
          </cell>
        </row>
        <row r="17">
          <cell r="A17" t="str">
            <v>BMR</v>
          </cell>
          <cell r="B17" t="str">
            <v>Brina Miftahurrohmah, S.Si., M.Si</v>
          </cell>
        </row>
        <row r="18">
          <cell r="A18" t="str">
            <v>CHB</v>
          </cell>
          <cell r="B18" t="str">
            <v>Dr. Ir. Chabib Bahari, S.E., M.M.</v>
          </cell>
        </row>
        <row r="19">
          <cell r="A19" t="str">
            <v>CWU</v>
          </cell>
          <cell r="B19" t="str">
            <v>Catur Wulandari, S.Kom., M.Sc</v>
          </cell>
        </row>
        <row r="20">
          <cell r="A20" t="str">
            <v>DSP</v>
          </cell>
          <cell r="B20" t="str">
            <v>Doni Setio Pambudi, S.Kom. M.Kom</v>
          </cell>
        </row>
        <row r="21">
          <cell r="A21" t="str">
            <v>DYS</v>
          </cell>
          <cell r="B21" t="str">
            <v>Dyah Satiti</v>
          </cell>
        </row>
        <row r="22">
          <cell r="A22" t="str">
            <v>EFN</v>
          </cell>
          <cell r="B22" t="str">
            <v>Elita Fidiya Nugrahani, S.T., M.Eng., M.T.</v>
          </cell>
        </row>
        <row r="23">
          <cell r="A23" t="str">
            <v>ELD</v>
          </cell>
          <cell r="B23" t="str">
            <v>Dr. Erlina Diamastuti, S.E., M.Si., Ak, CA</v>
          </cell>
        </row>
        <row r="24">
          <cell r="A24" t="str">
            <v>ELS</v>
          </cell>
          <cell r="B24" t="str">
            <v>Eka Lutfi Septiani, S.T., M.T.</v>
          </cell>
        </row>
        <row r="25">
          <cell r="A25" t="str">
            <v>EMH</v>
          </cell>
          <cell r="B25" t="str">
            <v>Elsi Mersilia Hanesti, S.EI., M.SE</v>
          </cell>
        </row>
        <row r="26">
          <cell r="A26" t="str">
            <v>FAP</v>
          </cell>
          <cell r="B26" t="str">
            <v>Fandi Angga Prasetya, S.Si., M.Si</v>
          </cell>
        </row>
        <row r="27">
          <cell r="A27" t="str">
            <v>FRD</v>
          </cell>
          <cell r="B27" t="str">
            <v>Fitri Ramadhan</v>
          </cell>
        </row>
        <row r="28">
          <cell r="A28" t="str">
            <v>GFP</v>
          </cell>
          <cell r="B28" t="str">
            <v>Grandys Frieska Prassida, S.Kom., M.Kom.</v>
          </cell>
        </row>
        <row r="29">
          <cell r="A29" t="str">
            <v>GTK</v>
          </cell>
          <cell r="B29" t="str">
            <v>Dr. Gatot Kustyadji, S.E., M.Si</v>
          </cell>
        </row>
        <row r="30">
          <cell r="A30" t="str">
            <v>HDC</v>
          </cell>
          <cell r="B30" t="str">
            <v>Hadi Cahyono, S.E., M.M.</v>
          </cell>
        </row>
        <row r="31">
          <cell r="A31" t="str">
            <v>HNM</v>
          </cell>
          <cell r="B31" t="str">
            <v>Husnunnida Maharani</v>
          </cell>
        </row>
        <row r="32">
          <cell r="A32" t="str">
            <v>IAC</v>
          </cell>
          <cell r="B32" t="str">
            <v>Irvan Adhin Cholilie, S.TP., M.P</v>
          </cell>
        </row>
        <row r="33">
          <cell r="A33" t="str">
            <v>IRA</v>
          </cell>
          <cell r="B33" t="str">
            <v>Irni Resmi Apriyanti, S.Ds., M.Ds.</v>
          </cell>
        </row>
        <row r="34">
          <cell r="A34" t="str">
            <v>IWM</v>
          </cell>
          <cell r="B34" t="str">
            <v>Izzati Winda Murti, S.T., M.T.</v>
          </cell>
        </row>
        <row r="35">
          <cell r="A35" t="str">
            <v>JSM</v>
          </cell>
          <cell r="B35" t="str">
            <v>Johan Samudra</v>
          </cell>
        </row>
        <row r="36">
          <cell r="A36" t="str">
            <v>KKU</v>
          </cell>
          <cell r="B36" t="str">
            <v>Kuntum Khoiro Ummatin, S.T., M.T.</v>
          </cell>
        </row>
        <row r="37">
          <cell r="A37" t="str">
            <v>KNH</v>
          </cell>
          <cell r="B37" t="str">
            <v>Kurniasari Novi Hardanti, SE., M.CA</v>
          </cell>
        </row>
        <row r="38">
          <cell r="A38" t="str">
            <v>LEA</v>
          </cell>
          <cell r="B38" t="str">
            <v>Almira Fidela Artha, S.S., M.Hum</v>
          </cell>
        </row>
        <row r="39">
          <cell r="A39" t="str">
            <v>LEB</v>
          </cell>
          <cell r="B39" t="str">
            <v>Suryadi Kusniawan S.Hum., M.Hum</v>
          </cell>
        </row>
        <row r="40">
          <cell r="A40" t="str">
            <v>LEC</v>
          </cell>
          <cell r="B40" t="str">
            <v>Adelia</v>
          </cell>
        </row>
        <row r="41">
          <cell r="A41" t="str">
            <v>LED</v>
          </cell>
          <cell r="B41" t="str">
            <v>Arif Yarmanto</v>
          </cell>
        </row>
        <row r="42">
          <cell r="A42" t="str">
            <v>LEE</v>
          </cell>
          <cell r="B42" t="str">
            <v>Dr.Eng Chastine Fatichah S.Kom., M.Kom</v>
          </cell>
        </row>
        <row r="43">
          <cell r="A43" t="str">
            <v>LEF</v>
          </cell>
          <cell r="B43" t="str">
            <v>Ketut</v>
          </cell>
        </row>
        <row r="44">
          <cell r="A44" t="str">
            <v>LEG</v>
          </cell>
          <cell r="B44" t="str">
            <v>Clara Puspita</v>
          </cell>
        </row>
        <row r="45">
          <cell r="A45" t="str">
            <v>LEH</v>
          </cell>
          <cell r="B45" t="str">
            <v>Fira</v>
          </cell>
        </row>
        <row r="46">
          <cell r="A46" t="str">
            <v>LEI</v>
          </cell>
          <cell r="B46" t="str">
            <v>M. Fathoni</v>
          </cell>
        </row>
        <row r="47">
          <cell r="A47" t="str">
            <v>LEJ</v>
          </cell>
          <cell r="B47" t="str">
            <v>Amira</v>
          </cell>
        </row>
        <row r="48">
          <cell r="A48" t="str">
            <v>LEK</v>
          </cell>
          <cell r="B48" t="str">
            <v>Ilmanza Restuadi Kurniawan</v>
          </cell>
        </row>
        <row r="49">
          <cell r="A49" t="str">
            <v>LEL</v>
          </cell>
          <cell r="B49" t="str">
            <v>Robiatul Adawiyah</v>
          </cell>
        </row>
        <row r="50">
          <cell r="A50" t="str">
            <v>LEM</v>
          </cell>
          <cell r="B50" t="str">
            <v xml:space="preserve">Shintya </v>
          </cell>
        </row>
        <row r="51">
          <cell r="A51" t="str">
            <v>LEN</v>
          </cell>
          <cell r="B51" t="str">
            <v>Nugrahadi</v>
          </cell>
        </row>
        <row r="52">
          <cell r="A52" t="str">
            <v>LEO</v>
          </cell>
          <cell r="B52" t="str">
            <v>Anisa Pinatih</v>
          </cell>
        </row>
        <row r="53">
          <cell r="A53" t="str">
            <v>LEP</v>
          </cell>
          <cell r="B53" t="str">
            <v>Putri AKSI</v>
          </cell>
        </row>
        <row r="54">
          <cell r="A54" t="str">
            <v>LEQ</v>
          </cell>
          <cell r="B54" t="str">
            <v>Billy</v>
          </cell>
        </row>
        <row r="55">
          <cell r="A55" t="str">
            <v>LER</v>
          </cell>
          <cell r="B55" t="str">
            <v>Ikhsan Rosyid, S.S., M.Hum</v>
          </cell>
        </row>
        <row r="56">
          <cell r="A56" t="str">
            <v>LES</v>
          </cell>
          <cell r="B56" t="str">
            <v>Syamsudin Chalim S.Pd., M.Pd</v>
          </cell>
        </row>
        <row r="57">
          <cell r="A57" t="str">
            <v>LET</v>
          </cell>
          <cell r="B57" t="str">
            <v>Tontowi Ismail</v>
          </cell>
        </row>
        <row r="58">
          <cell r="A58" t="str">
            <v>LEU</v>
          </cell>
          <cell r="B58" t="str">
            <v>Pristi Rininta</v>
          </cell>
        </row>
        <row r="59">
          <cell r="A59" t="str">
            <v>LEV</v>
          </cell>
          <cell r="B59" t="str">
            <v>Rifai</v>
          </cell>
        </row>
        <row r="60">
          <cell r="A60" t="str">
            <v>LEW</v>
          </cell>
          <cell r="B60" t="str">
            <v>Widio Rahardjo S.H.,M.Kn</v>
          </cell>
        </row>
        <row r="61">
          <cell r="A61" t="str">
            <v>LEX</v>
          </cell>
          <cell r="B61" t="str">
            <v>Andy Haryoko S.T., M.Kom</v>
          </cell>
        </row>
        <row r="62">
          <cell r="A62" t="str">
            <v>LEY</v>
          </cell>
          <cell r="B62" t="str">
            <v xml:space="preserve">Kartika </v>
          </cell>
        </row>
        <row r="63">
          <cell r="A63" t="str">
            <v>LEZ</v>
          </cell>
          <cell r="B63" t="str">
            <v>Fathoniz Zakka, Lc. MTh.I</v>
          </cell>
        </row>
        <row r="64">
          <cell r="A64" t="str">
            <v>LHY</v>
          </cell>
          <cell r="B64" t="str">
            <v>Lailatul Hidayah, S.Kom., MS.</v>
          </cell>
        </row>
        <row r="65">
          <cell r="A65" t="str">
            <v>LKT</v>
          </cell>
          <cell r="B65" t="str">
            <v>Luki Trihardani, S.T., M.T.</v>
          </cell>
        </row>
        <row r="66">
          <cell r="A66" t="str">
            <v>LRS</v>
          </cell>
          <cell r="B66" t="str">
            <v>Lisa Risfana Sari S.Si., M.Si</v>
          </cell>
        </row>
        <row r="67">
          <cell r="A67" t="str">
            <v>MAK</v>
          </cell>
          <cell r="B67" t="str">
            <v>Muhammad Akbar, S.E., M.Acc., Ak.</v>
          </cell>
        </row>
        <row r="68">
          <cell r="A68" t="str">
            <v>MAR</v>
          </cell>
          <cell r="B68" t="str">
            <v>Mohammad Arif Rasyidi, S.Kom., M.Sc.</v>
          </cell>
        </row>
        <row r="69">
          <cell r="A69" t="str">
            <v>MDI</v>
          </cell>
          <cell r="B69" t="str">
            <v>Mirza Dwinanda Ilmawan, S.E., M.M.</v>
          </cell>
        </row>
        <row r="70">
          <cell r="A70" t="str">
            <v>MFI</v>
          </cell>
          <cell r="B70" t="str">
            <v>Muhammad Faisal Ibrahim, S.T., M.T.</v>
          </cell>
        </row>
        <row r="71">
          <cell r="A71" t="str">
            <v>MFT</v>
          </cell>
          <cell r="B71" t="str">
            <v>Mia Fathia, S.Si., M.Sc.Fin</v>
          </cell>
        </row>
        <row r="72">
          <cell r="A72" t="str">
            <v>MHA</v>
          </cell>
          <cell r="B72" t="str">
            <v>Drs. Muhammad Asyhad, M.Pd.I.</v>
          </cell>
        </row>
        <row r="73">
          <cell r="A73" t="str">
            <v>MHN</v>
          </cell>
          <cell r="B73" t="str">
            <v>Mala Hayati Nasution, S.T., M.T</v>
          </cell>
        </row>
        <row r="74">
          <cell r="A74" t="str">
            <v>MMK</v>
          </cell>
          <cell r="B74" t="str">
            <v>Marisya Mahdia Khoirina, S.M., M.M.</v>
          </cell>
        </row>
        <row r="75">
          <cell r="A75" t="str">
            <v>MMP</v>
          </cell>
          <cell r="B75" t="str">
            <v>Maulin Masyito Putri, S.T., M.T</v>
          </cell>
        </row>
        <row r="76">
          <cell r="A76" t="str">
            <v>NCS</v>
          </cell>
          <cell r="B76" t="str">
            <v>Ndaru Candra Sukmana, S.Si., M.Si.</v>
          </cell>
        </row>
        <row r="77">
          <cell r="A77" t="str">
            <v>NEF</v>
          </cell>
          <cell r="B77" t="str">
            <v>Nur Eliza Faizaty, S.E., M.Si</v>
          </cell>
        </row>
        <row r="78">
          <cell r="A78" t="str">
            <v>NGT</v>
          </cell>
          <cell r="B78" t="str">
            <v>Ngatini</v>
          </cell>
        </row>
        <row r="79">
          <cell r="A79" t="str">
            <v>NRS</v>
          </cell>
          <cell r="B79" t="str">
            <v>Nova Ridho Sisprasojo, S.Sn., M.Ds.</v>
          </cell>
        </row>
        <row r="80">
          <cell r="A80" t="str">
            <v>NWF</v>
          </cell>
          <cell r="B80" t="str">
            <v>Niswatun Faria, S.T., M.Sc</v>
          </cell>
        </row>
        <row r="81">
          <cell r="A81" t="str">
            <v>OAC</v>
          </cell>
          <cell r="B81" t="str">
            <v>Oki Anita Candra Dewi, S.T., M.T.</v>
          </cell>
        </row>
        <row r="82">
          <cell r="A82" t="str">
            <v>OPP</v>
          </cell>
          <cell r="B82" t="str">
            <v>Okky Putri Prastuti, S.T., M.T.</v>
          </cell>
        </row>
        <row r="83">
          <cell r="A83" t="str">
            <v>PAY</v>
          </cell>
          <cell r="B83" t="str">
            <v>Puji Andayani, S.Si., M.Si., M.Sc.</v>
          </cell>
        </row>
        <row r="84">
          <cell r="A84" t="str">
            <v>PRM</v>
          </cell>
          <cell r="B84" t="str">
            <v>Paramita Setyaningrum, S.T., M.T.</v>
          </cell>
        </row>
        <row r="85">
          <cell r="A85" t="str">
            <v>PTA</v>
          </cell>
          <cell r="B85" t="str">
            <v>Putri Amelia, S.T., M.T., M.Eng.</v>
          </cell>
        </row>
        <row r="86">
          <cell r="A86" t="str">
            <v>QAN</v>
          </cell>
          <cell r="B86" t="str">
            <v>Qurrotin A'yunina Maulida Okta Arifianti, S.T., M.S.</v>
          </cell>
        </row>
        <row r="87">
          <cell r="A87" t="str">
            <v>RHY</v>
          </cell>
          <cell r="B87" t="str">
            <v>Ruktin Handayani, S.Kom., M.Kom.</v>
          </cell>
        </row>
        <row r="88">
          <cell r="A88" t="str">
            <v>RNA</v>
          </cell>
          <cell r="B88" t="str">
            <v>Rizky Noviasri, S.Sn., M.Ds.</v>
          </cell>
        </row>
        <row r="89">
          <cell r="A89" t="str">
            <v>RNU</v>
          </cell>
          <cell r="B89" t="str">
            <v>Roostikasari Nugraheni, S.Hum., M.Med.Kom.</v>
          </cell>
        </row>
        <row r="90">
          <cell r="A90" t="str">
            <v>RRI</v>
          </cell>
          <cell r="B90" t="str">
            <v>Rosa Rilantiana, S.E., M.M.</v>
          </cell>
        </row>
        <row r="91">
          <cell r="A91" t="str">
            <v>RSD</v>
          </cell>
          <cell r="B91" t="str">
            <v>Renny Sari Dewi, S.Kom., M.Kom.</v>
          </cell>
        </row>
        <row r="92">
          <cell r="A92" t="str">
            <v>SEW</v>
          </cell>
          <cell r="B92" t="str">
            <v>Stefanus Eko Wiratno, S.T., M.Sc.</v>
          </cell>
        </row>
        <row r="93">
          <cell r="A93" t="str">
            <v>SFI</v>
          </cell>
          <cell r="B93" t="str">
            <v>Sugeng Firdausi, S.E., Ak.,  M.M. MIFP.</v>
          </cell>
        </row>
        <row r="94">
          <cell r="A94" t="str">
            <v>SKS</v>
          </cell>
          <cell r="B94" t="str">
            <v>Shanti Kartika Sari, S.T.,M.S.</v>
          </cell>
        </row>
        <row r="95">
          <cell r="A95" t="str">
            <v>SNM</v>
          </cell>
          <cell r="B95" t="str">
            <v>Siti Nurminarsih, S.T., M.T.</v>
          </cell>
        </row>
        <row r="96">
          <cell r="A96" t="str">
            <v>SUW</v>
          </cell>
          <cell r="B96" t="str">
            <v>Sekarsari Utami Wijaya, S.Stat</v>
          </cell>
        </row>
        <row r="97">
          <cell r="A97" t="str">
            <v>TAN</v>
          </cell>
          <cell r="B97" t="str">
            <v>Tyas Ajeng Nastiti, S.T., M.Ds.</v>
          </cell>
        </row>
        <row r="98">
          <cell r="A98" t="str">
            <v>TKN</v>
          </cell>
          <cell r="B98" t="str">
            <v>Tikno, S.T., M.Kom.</v>
          </cell>
        </row>
        <row r="99">
          <cell r="A99" t="str">
            <v>TQB</v>
          </cell>
          <cell r="B99" t="str">
            <v>Taufiqotul Bariyah S.Kom., M.IM</v>
          </cell>
        </row>
        <row r="100">
          <cell r="A100" t="str">
            <v>TSJ</v>
          </cell>
          <cell r="B100" t="str">
            <v>Prof. Tjiptohadi Sawarjuwono, M.Ec., Ph.D., CPA., CA.</v>
          </cell>
        </row>
        <row r="101">
          <cell r="A101" t="str">
            <v>TWA</v>
          </cell>
          <cell r="B101" t="str">
            <v>Trias Widha Andari, S.Sn., M.Ds.</v>
          </cell>
        </row>
        <row r="102">
          <cell r="A102" t="str">
            <v>UAG</v>
          </cell>
          <cell r="B102" t="str">
            <v>Ufafa Anggarini, S.Si., M.Si.</v>
          </cell>
        </row>
        <row r="103">
          <cell r="A103" t="str">
            <v>VPU</v>
          </cell>
          <cell r="B103" t="str">
            <v>Victor  Purnomo, S.T., M.T., M.Sc.</v>
          </cell>
        </row>
        <row r="104">
          <cell r="A104" t="str">
            <v>WAH</v>
          </cell>
          <cell r="B104" t="str">
            <v>Wahyu Agung Handono, S.E., M.M.</v>
          </cell>
        </row>
        <row r="105">
          <cell r="A105" t="str">
            <v>WKS</v>
          </cell>
          <cell r="B105" t="str">
            <v>Wahyu Kamal Setiawan, S.TP., M.Si.</v>
          </cell>
        </row>
        <row r="106">
          <cell r="A106" t="str">
            <v>WND</v>
          </cell>
          <cell r="B106" t="str">
            <v>Winda Narulidea, S.T., M.T.</v>
          </cell>
        </row>
        <row r="107">
          <cell r="A107" t="str">
            <v>YIR</v>
          </cell>
          <cell r="B107" t="str">
            <v>Yohanes Indra Riskajaya, S.Kom., M.Kom</v>
          </cell>
        </row>
        <row r="108">
          <cell r="A108" t="str">
            <v>YNK</v>
          </cell>
          <cell r="B108" t="str">
            <v>Yuni Kurniati, S.T., M.T.</v>
          </cell>
        </row>
        <row r="109">
          <cell r="A109" t="str">
            <v>YNT</v>
          </cell>
          <cell r="B109" t="str">
            <v>Yanuar Trisnowati, S.E., M.M.</v>
          </cell>
        </row>
        <row r="110">
          <cell r="A110" t="str">
            <v>YSD</v>
          </cell>
          <cell r="B110" t="str">
            <v>Yogantara Setya Dharmawan, S.Kom., M.Sc</v>
          </cell>
        </row>
        <row r="111">
          <cell r="A111" t="str">
            <v>YSM</v>
          </cell>
          <cell r="B111" t="str">
            <v>Yunita Siti Mardhiyyah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7"/>
  <sheetViews>
    <sheetView topLeftCell="A34" workbookViewId="0">
      <selection activeCell="A40" sqref="A40"/>
    </sheetView>
  </sheetViews>
  <sheetFormatPr defaultRowHeight="14.4" x14ac:dyDescent="0.3"/>
  <cols>
    <col min="1" max="1" width="11.5546875" bestFit="1" customWidth="1"/>
    <col min="2" max="2" width="46.6640625" bestFit="1" customWidth="1"/>
  </cols>
  <sheetData>
    <row r="1" spans="1:3" x14ac:dyDescent="0.3">
      <c r="A1" s="1" t="s">
        <v>0</v>
      </c>
      <c r="B1" s="1" t="s">
        <v>1</v>
      </c>
      <c r="C1" t="s">
        <v>1034</v>
      </c>
    </row>
    <row r="2" spans="1:3" x14ac:dyDescent="0.3">
      <c r="A2" s="36" t="s">
        <v>2</v>
      </c>
      <c r="B2" s="37" t="s">
        <v>3</v>
      </c>
      <c r="C2" t="s">
        <v>888</v>
      </c>
    </row>
    <row r="3" spans="1:3" x14ac:dyDescent="0.3">
      <c r="A3" s="36" t="s">
        <v>4</v>
      </c>
      <c r="B3" s="37" t="s">
        <v>5</v>
      </c>
    </row>
    <row r="4" spans="1:3" x14ac:dyDescent="0.3">
      <c r="A4" s="36" t="s">
        <v>6</v>
      </c>
      <c r="B4" s="37" t="s">
        <v>7</v>
      </c>
    </row>
    <row r="5" spans="1:3" x14ac:dyDescent="0.3">
      <c r="A5" s="36" t="s">
        <v>8</v>
      </c>
      <c r="B5" s="38" t="s">
        <v>9</v>
      </c>
      <c r="C5" t="s">
        <v>1026</v>
      </c>
    </row>
    <row r="6" spans="1:3" x14ac:dyDescent="0.3">
      <c r="A6" s="36" t="s">
        <v>10</v>
      </c>
      <c r="B6" s="37" t="s">
        <v>11</v>
      </c>
    </row>
    <row r="7" spans="1:3" x14ac:dyDescent="0.3">
      <c r="A7" s="36" t="s">
        <v>12</v>
      </c>
      <c r="B7" s="37" t="s">
        <v>13</v>
      </c>
      <c r="C7" t="s">
        <v>1027</v>
      </c>
    </row>
    <row r="8" spans="1:3" x14ac:dyDescent="0.3">
      <c r="A8" s="36" t="s">
        <v>14</v>
      </c>
      <c r="B8" s="37" t="s">
        <v>15</v>
      </c>
      <c r="C8" t="s">
        <v>1026</v>
      </c>
    </row>
    <row r="9" spans="1:3" x14ac:dyDescent="0.3">
      <c r="A9" s="36" t="s">
        <v>16</v>
      </c>
      <c r="B9" s="37" t="s">
        <v>17</v>
      </c>
      <c r="C9" t="s">
        <v>1028</v>
      </c>
    </row>
    <row r="10" spans="1:3" x14ac:dyDescent="0.3">
      <c r="A10" s="36" t="s">
        <v>18</v>
      </c>
      <c r="B10" s="37" t="s">
        <v>19</v>
      </c>
      <c r="C10" t="s">
        <v>1028</v>
      </c>
    </row>
    <row r="11" spans="1:3" x14ac:dyDescent="0.3">
      <c r="A11" s="36" t="s">
        <v>20</v>
      </c>
      <c r="B11" s="37" t="s">
        <v>948</v>
      </c>
      <c r="C11" t="s">
        <v>1029</v>
      </c>
    </row>
    <row r="12" spans="1:3" x14ac:dyDescent="0.3">
      <c r="A12" s="36" t="s">
        <v>21</v>
      </c>
      <c r="B12" s="37" t="s">
        <v>22</v>
      </c>
    </row>
    <row r="13" spans="1:3" x14ac:dyDescent="0.3">
      <c r="A13" s="36" t="s">
        <v>24</v>
      </c>
      <c r="B13" s="37" t="s">
        <v>25</v>
      </c>
      <c r="C13" t="s">
        <v>1026</v>
      </c>
    </row>
    <row r="14" spans="1:3" x14ac:dyDescent="0.3">
      <c r="A14" s="39" t="s">
        <v>26</v>
      </c>
      <c r="B14" s="37" t="s">
        <v>27</v>
      </c>
      <c r="C14" t="s">
        <v>1030</v>
      </c>
    </row>
    <row r="15" spans="1:3" x14ac:dyDescent="0.3">
      <c r="A15" s="36" t="s">
        <v>28</v>
      </c>
      <c r="B15" s="37" t="s">
        <v>29</v>
      </c>
    </row>
    <row r="16" spans="1:3" x14ac:dyDescent="0.3">
      <c r="A16" s="36" t="s">
        <v>30</v>
      </c>
      <c r="B16" s="37" t="s">
        <v>31</v>
      </c>
      <c r="C16" t="s">
        <v>1030</v>
      </c>
    </row>
    <row r="17" spans="1:3" x14ac:dyDescent="0.3">
      <c r="A17" s="36" t="s">
        <v>32</v>
      </c>
      <c r="B17" s="37" t="s">
        <v>33</v>
      </c>
      <c r="C17" t="s">
        <v>1031</v>
      </c>
    </row>
    <row r="18" spans="1:3" x14ac:dyDescent="0.3">
      <c r="A18" s="36" t="s">
        <v>689</v>
      </c>
      <c r="B18" s="37" t="s">
        <v>947</v>
      </c>
    </row>
    <row r="19" spans="1:3" x14ac:dyDescent="0.3">
      <c r="A19" s="36" t="s">
        <v>34</v>
      </c>
      <c r="B19" s="37" t="s">
        <v>35</v>
      </c>
      <c r="C19" t="s">
        <v>1032</v>
      </c>
    </row>
    <row r="20" spans="1:3" x14ac:dyDescent="0.3">
      <c r="A20" s="36" t="s">
        <v>36</v>
      </c>
      <c r="B20" s="37" t="s">
        <v>37</v>
      </c>
      <c r="C20" t="s">
        <v>1027</v>
      </c>
    </row>
    <row r="21" spans="1:3" x14ac:dyDescent="0.3">
      <c r="A21" s="36" t="s">
        <v>38</v>
      </c>
      <c r="B21" s="37" t="s">
        <v>39</v>
      </c>
      <c r="C21" t="s">
        <v>1029</v>
      </c>
    </row>
    <row r="22" spans="1:3" x14ac:dyDescent="0.3">
      <c r="A22" s="36" t="s">
        <v>40</v>
      </c>
      <c r="B22" s="100" t="s">
        <v>950</v>
      </c>
      <c r="C22" t="s">
        <v>1026</v>
      </c>
    </row>
    <row r="23" spans="1:3" x14ac:dyDescent="0.3">
      <c r="A23" s="36" t="s">
        <v>41</v>
      </c>
      <c r="B23" s="37" t="s">
        <v>42</v>
      </c>
      <c r="C23" t="s">
        <v>1029</v>
      </c>
    </row>
    <row r="24" spans="1:3" x14ac:dyDescent="0.3">
      <c r="A24" s="36" t="s">
        <v>690</v>
      </c>
      <c r="B24" s="100" t="s">
        <v>949</v>
      </c>
      <c r="C24" t="s">
        <v>1027</v>
      </c>
    </row>
    <row r="25" spans="1:3" x14ac:dyDescent="0.3">
      <c r="A25" s="36" t="s">
        <v>43</v>
      </c>
      <c r="B25" s="37" t="s">
        <v>44</v>
      </c>
    </row>
    <row r="26" spans="1:3" x14ac:dyDescent="0.3">
      <c r="A26" s="40" t="s">
        <v>45</v>
      </c>
      <c r="B26" s="41" t="s">
        <v>46</v>
      </c>
      <c r="C26" t="s">
        <v>1028</v>
      </c>
    </row>
    <row r="27" spans="1:3" x14ac:dyDescent="0.3">
      <c r="A27" s="36" t="s">
        <v>47</v>
      </c>
      <c r="B27" s="37" t="s">
        <v>48</v>
      </c>
    </row>
    <row r="28" spans="1:3" x14ac:dyDescent="0.3">
      <c r="A28" s="36" t="s">
        <v>49</v>
      </c>
      <c r="B28" s="37" t="s">
        <v>951</v>
      </c>
      <c r="C28" t="s">
        <v>1027</v>
      </c>
    </row>
    <row r="29" spans="1:3" x14ac:dyDescent="0.3">
      <c r="A29" s="36" t="s">
        <v>50</v>
      </c>
      <c r="B29" s="37" t="s">
        <v>51</v>
      </c>
      <c r="C29" t="s">
        <v>888</v>
      </c>
    </row>
    <row r="30" spans="1:3" x14ac:dyDescent="0.3">
      <c r="A30" s="36" t="s">
        <v>52</v>
      </c>
      <c r="B30" s="37" t="s">
        <v>53</v>
      </c>
      <c r="C30" t="s">
        <v>902</v>
      </c>
    </row>
    <row r="31" spans="1:3" x14ac:dyDescent="0.3">
      <c r="A31" s="36" t="s">
        <v>54</v>
      </c>
      <c r="B31" s="38" t="s">
        <v>55</v>
      </c>
      <c r="C31" t="s">
        <v>1032</v>
      </c>
    </row>
    <row r="32" spans="1:3" x14ac:dyDescent="0.3">
      <c r="A32" s="36" t="s">
        <v>56</v>
      </c>
      <c r="B32" s="37" t="s">
        <v>57</v>
      </c>
    </row>
    <row r="33" spans="1:3" x14ac:dyDescent="0.3">
      <c r="A33" s="36" t="s">
        <v>58</v>
      </c>
      <c r="B33" s="37" t="s">
        <v>59</v>
      </c>
      <c r="C33" t="s">
        <v>1032</v>
      </c>
    </row>
    <row r="34" spans="1:3" x14ac:dyDescent="0.3">
      <c r="A34" s="36" t="s">
        <v>60</v>
      </c>
      <c r="B34" s="37" t="s">
        <v>61</v>
      </c>
      <c r="C34" t="s">
        <v>1027</v>
      </c>
    </row>
    <row r="35" spans="1:3" x14ac:dyDescent="0.3">
      <c r="A35" s="36" t="s">
        <v>62</v>
      </c>
      <c r="B35" s="37" t="s">
        <v>63</v>
      </c>
    </row>
    <row r="36" spans="1:3" x14ac:dyDescent="0.3">
      <c r="A36" s="36" t="s">
        <v>64</v>
      </c>
      <c r="B36" s="42" t="s">
        <v>65</v>
      </c>
    </row>
    <row r="37" spans="1:3" x14ac:dyDescent="0.3">
      <c r="A37" s="36" t="s">
        <v>66</v>
      </c>
      <c r="B37" s="37" t="s">
        <v>691</v>
      </c>
    </row>
    <row r="38" spans="1:3" x14ac:dyDescent="0.3">
      <c r="A38" s="36" t="s">
        <v>67</v>
      </c>
      <c r="B38" s="37" t="s">
        <v>68</v>
      </c>
    </row>
    <row r="39" spans="1:3" x14ac:dyDescent="0.3">
      <c r="A39" s="36" t="s">
        <v>69</v>
      </c>
      <c r="B39" s="37" t="s">
        <v>70</v>
      </c>
    </row>
    <row r="40" spans="1:3" x14ac:dyDescent="0.3">
      <c r="A40" s="36" t="s">
        <v>71</v>
      </c>
      <c r="B40" s="37" t="s">
        <v>899</v>
      </c>
    </row>
    <row r="41" spans="1:3" x14ac:dyDescent="0.3">
      <c r="A41" s="36" t="s">
        <v>72</v>
      </c>
      <c r="B41" s="99" t="s">
        <v>932</v>
      </c>
    </row>
    <row r="42" spans="1:3" x14ac:dyDescent="0.3">
      <c r="A42" s="36" t="s">
        <v>73</v>
      </c>
      <c r="B42" s="99" t="s">
        <v>933</v>
      </c>
    </row>
    <row r="43" spans="1:3" x14ac:dyDescent="0.3">
      <c r="A43" s="36" t="s">
        <v>74</v>
      </c>
      <c r="B43" s="37" t="s">
        <v>75</v>
      </c>
    </row>
    <row r="44" spans="1:3" x14ac:dyDescent="0.3">
      <c r="A44" s="36" t="s">
        <v>76</v>
      </c>
      <c r="B44" s="37" t="s">
        <v>692</v>
      </c>
    </row>
    <row r="45" spans="1:3" x14ac:dyDescent="0.3">
      <c r="A45" s="36" t="s">
        <v>77</v>
      </c>
      <c r="B45" s="37" t="s">
        <v>693</v>
      </c>
    </row>
    <row r="46" spans="1:3" x14ac:dyDescent="0.3">
      <c r="A46" s="36" t="s">
        <v>78</v>
      </c>
      <c r="B46" s="37" t="s">
        <v>934</v>
      </c>
    </row>
    <row r="47" spans="1:3" x14ac:dyDescent="0.3">
      <c r="A47" s="36" t="s">
        <v>79</v>
      </c>
      <c r="B47" s="37" t="s">
        <v>80</v>
      </c>
    </row>
    <row r="48" spans="1:3" x14ac:dyDescent="0.3">
      <c r="A48" s="36" t="s">
        <v>81</v>
      </c>
      <c r="B48" s="37" t="s">
        <v>694</v>
      </c>
    </row>
    <row r="49" spans="1:3" x14ac:dyDescent="0.3">
      <c r="A49" s="36" t="s">
        <v>82</v>
      </c>
      <c r="B49" s="37" t="s">
        <v>83</v>
      </c>
    </row>
    <row r="50" spans="1:3" x14ac:dyDescent="0.3">
      <c r="A50" s="36" t="s">
        <v>84</v>
      </c>
      <c r="B50" s="37" t="s">
        <v>695</v>
      </c>
    </row>
    <row r="51" spans="1:3" x14ac:dyDescent="0.3">
      <c r="A51" s="36" t="s">
        <v>85</v>
      </c>
      <c r="B51" s="37" t="s">
        <v>86</v>
      </c>
    </row>
    <row r="52" spans="1:3" x14ac:dyDescent="0.3">
      <c r="A52" s="36" t="s">
        <v>87</v>
      </c>
      <c r="B52" s="37" t="s">
        <v>88</v>
      </c>
    </row>
    <row r="53" spans="1:3" x14ac:dyDescent="0.3">
      <c r="A53" s="36" t="s">
        <v>89</v>
      </c>
      <c r="B53" s="37" t="s">
        <v>90</v>
      </c>
    </row>
    <row r="54" spans="1:3" x14ac:dyDescent="0.3">
      <c r="A54" s="36" t="s">
        <v>91</v>
      </c>
      <c r="B54" s="37" t="s">
        <v>92</v>
      </c>
    </row>
    <row r="55" spans="1:3" x14ac:dyDescent="0.3">
      <c r="A55" s="36" t="s">
        <v>93</v>
      </c>
      <c r="B55" s="37" t="s">
        <v>94</v>
      </c>
    </row>
    <row r="56" spans="1:3" x14ac:dyDescent="0.3">
      <c r="A56" s="36" t="s">
        <v>95</v>
      </c>
      <c r="B56" s="37" t="s">
        <v>864</v>
      </c>
    </row>
    <row r="57" spans="1:3" x14ac:dyDescent="0.3">
      <c r="A57" s="36" t="s">
        <v>96</v>
      </c>
      <c r="B57" s="42" t="s">
        <v>97</v>
      </c>
    </row>
    <row r="58" spans="1:3" x14ac:dyDescent="0.3">
      <c r="A58" s="36" t="s">
        <v>98</v>
      </c>
      <c r="B58" s="37" t="s">
        <v>99</v>
      </c>
    </row>
    <row r="59" spans="1:3" x14ac:dyDescent="0.3">
      <c r="A59" s="36" t="s">
        <v>100</v>
      </c>
      <c r="B59" s="37" t="s">
        <v>696</v>
      </c>
    </row>
    <row r="60" spans="1:3" x14ac:dyDescent="0.3">
      <c r="A60" s="36" t="s">
        <v>101</v>
      </c>
      <c r="B60" s="37" t="s">
        <v>102</v>
      </c>
    </row>
    <row r="61" spans="1:3" x14ac:dyDescent="0.3">
      <c r="A61" s="36" t="s">
        <v>103</v>
      </c>
      <c r="B61" s="37" t="s">
        <v>104</v>
      </c>
      <c r="C61" t="s">
        <v>1031</v>
      </c>
    </row>
    <row r="62" spans="1:3" x14ac:dyDescent="0.3">
      <c r="A62" s="36" t="s">
        <v>105</v>
      </c>
      <c r="B62" s="37" t="s">
        <v>106</v>
      </c>
    </row>
    <row r="63" spans="1:3" x14ac:dyDescent="0.3">
      <c r="A63" s="36" t="s">
        <v>107</v>
      </c>
      <c r="B63" s="37" t="s">
        <v>108</v>
      </c>
      <c r="C63" t="s">
        <v>1028</v>
      </c>
    </row>
    <row r="64" spans="1:3" x14ac:dyDescent="0.3">
      <c r="A64" s="36" t="s">
        <v>109</v>
      </c>
      <c r="B64" s="37" t="s">
        <v>110</v>
      </c>
      <c r="C64" t="s">
        <v>1027</v>
      </c>
    </row>
    <row r="65" spans="1:3" x14ac:dyDescent="0.3">
      <c r="A65" s="36" t="s">
        <v>111</v>
      </c>
      <c r="B65" s="37" t="s">
        <v>112</v>
      </c>
      <c r="C65" t="s">
        <v>1031</v>
      </c>
    </row>
    <row r="66" spans="1:3" x14ac:dyDescent="0.3">
      <c r="A66" s="36" t="s">
        <v>113</v>
      </c>
      <c r="B66" s="37" t="s">
        <v>114</v>
      </c>
      <c r="C66" t="s">
        <v>1028</v>
      </c>
    </row>
    <row r="67" spans="1:3" x14ac:dyDescent="0.3">
      <c r="A67" s="36" t="s">
        <v>115</v>
      </c>
      <c r="B67" s="37" t="s">
        <v>116</v>
      </c>
      <c r="C67" t="s">
        <v>1033</v>
      </c>
    </row>
    <row r="68" spans="1:3" x14ac:dyDescent="0.3">
      <c r="A68" s="36" t="s">
        <v>117</v>
      </c>
      <c r="B68" s="37" t="s">
        <v>118</v>
      </c>
    </row>
    <row r="69" spans="1:3" x14ac:dyDescent="0.3">
      <c r="A69" s="36" t="s">
        <v>119</v>
      </c>
      <c r="B69" s="37" t="s">
        <v>120</v>
      </c>
      <c r="C69" t="s">
        <v>1026</v>
      </c>
    </row>
    <row r="70" spans="1:3" x14ac:dyDescent="0.3">
      <c r="A70" s="36" t="s">
        <v>121</v>
      </c>
      <c r="B70" s="37" t="s">
        <v>122</v>
      </c>
      <c r="C70" t="s">
        <v>1029</v>
      </c>
    </row>
    <row r="71" spans="1:3" x14ac:dyDescent="0.3">
      <c r="A71" s="36" t="s">
        <v>123</v>
      </c>
      <c r="B71" s="37" t="s">
        <v>124</v>
      </c>
      <c r="C71" t="s">
        <v>1028</v>
      </c>
    </row>
    <row r="72" spans="1:3" x14ac:dyDescent="0.3">
      <c r="A72" s="36" t="s">
        <v>125</v>
      </c>
      <c r="B72" s="37" t="s">
        <v>126</v>
      </c>
      <c r="C72" t="s">
        <v>1033</v>
      </c>
    </row>
    <row r="73" spans="1:3" x14ac:dyDescent="0.3">
      <c r="A73" s="36" t="s">
        <v>127</v>
      </c>
      <c r="B73" s="37" t="s">
        <v>128</v>
      </c>
    </row>
    <row r="74" spans="1:3" x14ac:dyDescent="0.3">
      <c r="A74" s="36" t="s">
        <v>129</v>
      </c>
      <c r="B74" s="37" t="s">
        <v>130</v>
      </c>
      <c r="C74" t="s">
        <v>1028</v>
      </c>
    </row>
    <row r="75" spans="1:3" x14ac:dyDescent="0.3">
      <c r="A75" s="36" t="s">
        <v>131</v>
      </c>
      <c r="B75" s="37" t="s">
        <v>952</v>
      </c>
      <c r="C75" t="s">
        <v>1031</v>
      </c>
    </row>
    <row r="76" spans="1:3" x14ac:dyDescent="0.3">
      <c r="A76" s="36" t="s">
        <v>132</v>
      </c>
      <c r="B76" s="37" t="s">
        <v>133</v>
      </c>
      <c r="C76" t="s">
        <v>902</v>
      </c>
    </row>
    <row r="77" spans="1:3" x14ac:dyDescent="0.3">
      <c r="A77" s="36" t="s">
        <v>134</v>
      </c>
      <c r="B77" s="37" t="s">
        <v>135</v>
      </c>
      <c r="C77" t="s">
        <v>1032</v>
      </c>
    </row>
    <row r="78" spans="1:3" x14ac:dyDescent="0.3">
      <c r="A78" s="36" t="s">
        <v>136</v>
      </c>
      <c r="B78" s="37" t="s">
        <v>137</v>
      </c>
      <c r="C78" t="s">
        <v>1033</v>
      </c>
    </row>
    <row r="79" spans="1:3" x14ac:dyDescent="0.3">
      <c r="A79" s="36" t="s">
        <v>138</v>
      </c>
      <c r="B79" s="37" t="s">
        <v>139</v>
      </c>
      <c r="C79" t="s">
        <v>1029</v>
      </c>
    </row>
    <row r="80" spans="1:3" x14ac:dyDescent="0.3">
      <c r="A80" s="36" t="s">
        <v>140</v>
      </c>
      <c r="B80" s="37" t="s">
        <v>141</v>
      </c>
      <c r="C80" t="s">
        <v>1031</v>
      </c>
    </row>
    <row r="81" spans="1:3" x14ac:dyDescent="0.3">
      <c r="A81" s="36" t="s">
        <v>142</v>
      </c>
      <c r="B81" s="37" t="s">
        <v>143</v>
      </c>
      <c r="C81" t="s">
        <v>888</v>
      </c>
    </row>
    <row r="82" spans="1:3" x14ac:dyDescent="0.3">
      <c r="A82" s="36" t="s">
        <v>144</v>
      </c>
      <c r="B82" s="37" t="s">
        <v>145</v>
      </c>
    </row>
    <row r="83" spans="1:3" x14ac:dyDescent="0.3">
      <c r="A83" s="36" t="s">
        <v>146</v>
      </c>
      <c r="B83" s="37" t="s">
        <v>147</v>
      </c>
      <c r="C83" t="s">
        <v>1032</v>
      </c>
    </row>
    <row r="84" spans="1:3" x14ac:dyDescent="0.3">
      <c r="A84" s="36" t="s">
        <v>148</v>
      </c>
      <c r="B84" s="37" t="s">
        <v>149</v>
      </c>
      <c r="C84" t="s">
        <v>1031</v>
      </c>
    </row>
    <row r="85" spans="1:3" x14ac:dyDescent="0.3">
      <c r="A85" s="36" t="s">
        <v>150</v>
      </c>
      <c r="B85" s="37" t="s">
        <v>151</v>
      </c>
      <c r="C85" t="s">
        <v>902</v>
      </c>
    </row>
    <row r="86" spans="1:3" x14ac:dyDescent="0.3">
      <c r="A86" s="36" t="s">
        <v>152</v>
      </c>
      <c r="B86" s="37" t="s">
        <v>153</v>
      </c>
      <c r="C86" t="s">
        <v>902</v>
      </c>
    </row>
    <row r="87" spans="1:3" x14ac:dyDescent="0.3">
      <c r="A87" s="36" t="s">
        <v>154</v>
      </c>
      <c r="B87" s="37" t="s">
        <v>155</v>
      </c>
      <c r="C87" t="s">
        <v>1028</v>
      </c>
    </row>
    <row r="88" spans="1:3" x14ac:dyDescent="0.3">
      <c r="A88" s="36" t="s">
        <v>156</v>
      </c>
      <c r="B88" s="37" t="s">
        <v>157</v>
      </c>
    </row>
    <row r="89" spans="1:3" x14ac:dyDescent="0.3">
      <c r="A89" s="36" t="s">
        <v>158</v>
      </c>
      <c r="B89" s="38" t="s">
        <v>159</v>
      </c>
    </row>
    <row r="90" spans="1:3" x14ac:dyDescent="0.3">
      <c r="A90" s="36" t="s">
        <v>160</v>
      </c>
      <c r="B90" s="37" t="s">
        <v>161</v>
      </c>
      <c r="C90" t="s">
        <v>1027</v>
      </c>
    </row>
    <row r="91" spans="1:3" x14ac:dyDescent="0.3">
      <c r="A91" s="36" t="s">
        <v>162</v>
      </c>
      <c r="B91" s="37" t="s">
        <v>163</v>
      </c>
    </row>
    <row r="92" spans="1:3" x14ac:dyDescent="0.3">
      <c r="A92" s="36" t="s">
        <v>164</v>
      </c>
      <c r="B92" s="37" t="s">
        <v>165</v>
      </c>
      <c r="C92" t="s">
        <v>1033</v>
      </c>
    </row>
    <row r="93" spans="1:3" x14ac:dyDescent="0.3">
      <c r="A93" s="36" t="s">
        <v>166</v>
      </c>
      <c r="B93" s="37" t="s">
        <v>167</v>
      </c>
      <c r="C93" t="s">
        <v>1033</v>
      </c>
    </row>
    <row r="94" spans="1:3" x14ac:dyDescent="0.3">
      <c r="A94" s="36" t="s">
        <v>168</v>
      </c>
      <c r="B94" s="37" t="s">
        <v>169</v>
      </c>
      <c r="C94" t="s">
        <v>902</v>
      </c>
    </row>
    <row r="95" spans="1:3" x14ac:dyDescent="0.3">
      <c r="A95" s="36" t="s">
        <v>170</v>
      </c>
      <c r="B95" s="37" t="s">
        <v>171</v>
      </c>
    </row>
    <row r="96" spans="1:3" x14ac:dyDescent="0.3">
      <c r="A96" s="39" t="s">
        <v>172</v>
      </c>
      <c r="B96" s="37" t="s">
        <v>173</v>
      </c>
      <c r="C96" t="s">
        <v>1031</v>
      </c>
    </row>
    <row r="97" spans="1:3" x14ac:dyDescent="0.3">
      <c r="A97" s="36" t="s">
        <v>174</v>
      </c>
      <c r="B97" s="37" t="s">
        <v>175</v>
      </c>
    </row>
    <row r="98" spans="1:3" x14ac:dyDescent="0.3">
      <c r="A98" s="36" t="s">
        <v>176</v>
      </c>
      <c r="B98" s="37" t="s">
        <v>177</v>
      </c>
      <c r="C98" t="s">
        <v>902</v>
      </c>
    </row>
    <row r="99" spans="1:3" x14ac:dyDescent="0.3">
      <c r="A99" s="36" t="s">
        <v>178</v>
      </c>
      <c r="B99" s="37" t="s">
        <v>179</v>
      </c>
    </row>
    <row r="100" spans="1:3" x14ac:dyDescent="0.3">
      <c r="A100" s="36" t="s">
        <v>181</v>
      </c>
      <c r="B100" s="37" t="s">
        <v>182</v>
      </c>
      <c r="C100" t="s">
        <v>1026</v>
      </c>
    </row>
    <row r="101" spans="1:3" x14ac:dyDescent="0.3">
      <c r="A101" s="36" t="s">
        <v>183</v>
      </c>
      <c r="B101" s="37" t="s">
        <v>184</v>
      </c>
    </row>
    <row r="102" spans="1:3" x14ac:dyDescent="0.3">
      <c r="A102" s="36" t="s">
        <v>185</v>
      </c>
      <c r="B102" s="37" t="s">
        <v>186</v>
      </c>
    </row>
    <row r="103" spans="1:3" x14ac:dyDescent="0.3">
      <c r="A103" s="36" t="s">
        <v>187</v>
      </c>
      <c r="B103" s="37" t="s">
        <v>188</v>
      </c>
      <c r="C103" t="s">
        <v>1031</v>
      </c>
    </row>
    <row r="104" spans="1:3" x14ac:dyDescent="0.3">
      <c r="A104" s="36" t="s">
        <v>189</v>
      </c>
      <c r="B104" s="37" t="s">
        <v>190</v>
      </c>
      <c r="C104" t="s">
        <v>1029</v>
      </c>
    </row>
    <row r="105" spans="1:3" x14ac:dyDescent="0.3">
      <c r="A105" s="36" t="s">
        <v>191</v>
      </c>
      <c r="B105" s="37" t="s">
        <v>192</v>
      </c>
    </row>
    <row r="106" spans="1:3" x14ac:dyDescent="0.3">
      <c r="A106" s="39" t="s">
        <v>193</v>
      </c>
      <c r="B106" s="37" t="s">
        <v>194</v>
      </c>
      <c r="C106" t="s">
        <v>1030</v>
      </c>
    </row>
    <row r="107" spans="1:3" x14ac:dyDescent="0.3">
      <c r="A107" s="36" t="s">
        <v>195</v>
      </c>
      <c r="B107" s="37" t="s">
        <v>953</v>
      </c>
      <c r="C107" t="s">
        <v>888</v>
      </c>
    </row>
    <row r="108" spans="1:3" x14ac:dyDescent="0.3">
      <c r="A108" s="103" t="s">
        <v>959</v>
      </c>
      <c r="B108" s="104" t="s">
        <v>972</v>
      </c>
    </row>
    <row r="109" spans="1:3" x14ac:dyDescent="0.3">
      <c r="A109" s="103" t="s">
        <v>960</v>
      </c>
      <c r="B109" s="104" t="s">
        <v>973</v>
      </c>
    </row>
    <row r="110" spans="1:3" x14ac:dyDescent="0.3">
      <c r="A110" s="103" t="s">
        <v>961</v>
      </c>
      <c r="B110" s="104" t="s">
        <v>974</v>
      </c>
    </row>
    <row r="111" spans="1:3" x14ac:dyDescent="0.3">
      <c r="A111" s="103" t="s">
        <v>962</v>
      </c>
      <c r="B111" s="104" t="s">
        <v>975</v>
      </c>
    </row>
    <row r="112" spans="1:3" x14ac:dyDescent="0.3">
      <c r="A112" s="103" t="s">
        <v>963</v>
      </c>
      <c r="B112" s="104" t="s">
        <v>976</v>
      </c>
    </row>
    <row r="113" spans="1:2" x14ac:dyDescent="0.3">
      <c r="A113" s="103" t="s">
        <v>964</v>
      </c>
      <c r="B113" s="104" t="s">
        <v>977</v>
      </c>
    </row>
    <row r="114" spans="1:2" x14ac:dyDescent="0.3">
      <c r="A114" s="103" t="s">
        <v>965</v>
      </c>
      <c r="B114" s="104" t="s">
        <v>978</v>
      </c>
    </row>
    <row r="115" spans="1:2" x14ac:dyDescent="0.3">
      <c r="A115" s="103" t="s">
        <v>966</v>
      </c>
      <c r="B115" s="104" t="s">
        <v>979</v>
      </c>
    </row>
    <row r="116" spans="1:2" x14ac:dyDescent="0.3">
      <c r="A116" s="103" t="s">
        <v>967</v>
      </c>
      <c r="B116" s="104" t="s">
        <v>980</v>
      </c>
    </row>
    <row r="117" spans="1:2" x14ac:dyDescent="0.3">
      <c r="A117" s="103" t="s">
        <v>968</v>
      </c>
      <c r="B117" s="104" t="s">
        <v>981</v>
      </c>
    </row>
    <row r="118" spans="1:2" x14ac:dyDescent="0.3">
      <c r="A118" s="103" t="s">
        <v>969</v>
      </c>
      <c r="B118" s="104" t="s">
        <v>982</v>
      </c>
    </row>
    <row r="119" spans="1:2" x14ac:dyDescent="0.3">
      <c r="A119" s="103" t="s">
        <v>970</v>
      </c>
      <c r="B119" s="104" t="s">
        <v>983</v>
      </c>
    </row>
    <row r="120" spans="1:2" x14ac:dyDescent="0.3">
      <c r="A120" s="103" t="s">
        <v>971</v>
      </c>
      <c r="B120" s="104" t="s">
        <v>984</v>
      </c>
    </row>
    <row r="121" spans="1:2" x14ac:dyDescent="0.3">
      <c r="A121" s="103" t="s">
        <v>985</v>
      </c>
      <c r="B121" s="104" t="s">
        <v>987</v>
      </c>
    </row>
    <row r="122" spans="1:2" x14ac:dyDescent="0.3">
      <c r="A122" s="103" t="s">
        <v>986</v>
      </c>
      <c r="B122" s="104" t="s">
        <v>988</v>
      </c>
    </row>
    <row r="123" spans="1:2" x14ac:dyDescent="0.3">
      <c r="A123" s="103" t="s">
        <v>1016</v>
      </c>
      <c r="B123" s="104" t="s">
        <v>1023</v>
      </c>
    </row>
    <row r="124" spans="1:2" x14ac:dyDescent="0.3">
      <c r="A124" s="103" t="s">
        <v>1020</v>
      </c>
      <c r="B124" s="104" t="s">
        <v>1021</v>
      </c>
    </row>
    <row r="127" spans="1:2" x14ac:dyDescent="0.3">
      <c r="B127">
        <f>57/6</f>
        <v>9.5</v>
      </c>
    </row>
  </sheetData>
  <autoFilter ref="A1:C124" xr:uid="{00000000-0009-0000-0000-000000000000}"/>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19"/>
  <sheetViews>
    <sheetView workbookViewId="0">
      <selection activeCell="D7" sqref="D7"/>
    </sheetView>
  </sheetViews>
  <sheetFormatPr defaultRowHeight="14.4" x14ac:dyDescent="0.3"/>
  <cols>
    <col min="1" max="1" width="9"/>
    <col min="2" max="2" width="11.88671875" bestFit="1" customWidth="1"/>
  </cols>
  <sheetData>
    <row r="1" spans="1:2" ht="29.25" customHeight="1" x14ac:dyDescent="0.3">
      <c r="A1" s="73" t="s">
        <v>196</v>
      </c>
      <c r="B1" s="73" t="s">
        <v>908</v>
      </c>
    </row>
    <row r="2" spans="1:2" x14ac:dyDescent="0.3">
      <c r="A2" s="51" t="s">
        <v>219</v>
      </c>
      <c r="B2" s="51" t="s">
        <v>219</v>
      </c>
    </row>
    <row r="3" spans="1:2" x14ac:dyDescent="0.3">
      <c r="A3" s="51" t="s">
        <v>218</v>
      </c>
      <c r="B3" s="51" t="s">
        <v>218</v>
      </c>
    </row>
    <row r="4" spans="1:2" x14ac:dyDescent="0.3">
      <c r="A4" s="51" t="s">
        <v>225</v>
      </c>
      <c r="B4" s="51" t="s">
        <v>225</v>
      </c>
    </row>
    <row r="5" spans="1:2" x14ac:dyDescent="0.3">
      <c r="A5" s="51" t="s">
        <v>222</v>
      </c>
      <c r="B5" s="51" t="s">
        <v>222</v>
      </c>
    </row>
    <row r="6" spans="1:2" x14ac:dyDescent="0.3">
      <c r="A6" s="51" t="s">
        <v>220</v>
      </c>
      <c r="B6" s="51" t="s">
        <v>220</v>
      </c>
    </row>
    <row r="7" spans="1:2" x14ac:dyDescent="0.3">
      <c r="A7" s="51" t="s">
        <v>216</v>
      </c>
      <c r="B7" s="51" t="s">
        <v>216</v>
      </c>
    </row>
    <row r="8" spans="1:2" x14ac:dyDescent="0.3">
      <c r="A8" s="51" t="s">
        <v>226</v>
      </c>
      <c r="B8" s="51" t="s">
        <v>226</v>
      </c>
    </row>
    <row r="9" spans="1:2" x14ac:dyDescent="0.3">
      <c r="A9" s="51" t="s">
        <v>223</v>
      </c>
      <c r="B9" s="51" t="s">
        <v>223</v>
      </c>
    </row>
    <row r="10" spans="1:2" x14ac:dyDescent="0.3">
      <c r="A10" s="51" t="s">
        <v>221</v>
      </c>
      <c r="B10" s="51" t="s">
        <v>221</v>
      </c>
    </row>
    <row r="11" spans="1:2" x14ac:dyDescent="0.3">
      <c r="A11" s="51" t="s">
        <v>217</v>
      </c>
      <c r="B11" s="51" t="s">
        <v>217</v>
      </c>
    </row>
    <row r="12" spans="1:2" x14ac:dyDescent="0.3">
      <c r="A12" s="51" t="s">
        <v>227</v>
      </c>
      <c r="B12" s="51" t="s">
        <v>227</v>
      </c>
    </row>
    <row r="13" spans="1:2" x14ac:dyDescent="0.3">
      <c r="A13" s="51" t="s">
        <v>224</v>
      </c>
      <c r="B13" s="51" t="s">
        <v>224</v>
      </c>
    </row>
    <row r="14" spans="1:2" x14ac:dyDescent="0.3">
      <c r="A14" s="52" t="s">
        <v>863</v>
      </c>
      <c r="B14" s="52" t="s">
        <v>863</v>
      </c>
    </row>
    <row r="15" spans="1:2" x14ac:dyDescent="0.3">
      <c r="A15" s="52" t="s">
        <v>866</v>
      </c>
      <c r="B15" s="52" t="s">
        <v>866</v>
      </c>
    </row>
    <row r="16" spans="1:2" x14ac:dyDescent="0.3">
      <c r="A16" s="20" t="s">
        <v>201</v>
      </c>
      <c r="B16" s="20" t="s">
        <v>201</v>
      </c>
    </row>
    <row r="17" spans="1:2" x14ac:dyDescent="0.3">
      <c r="A17" s="20" t="s">
        <v>199</v>
      </c>
      <c r="B17" s="20" t="s">
        <v>199</v>
      </c>
    </row>
    <row r="18" spans="1:2" x14ac:dyDescent="0.3">
      <c r="A18" s="20" t="s">
        <v>197</v>
      </c>
      <c r="B18" s="20" t="s">
        <v>197</v>
      </c>
    </row>
    <row r="19" spans="1:2" x14ac:dyDescent="0.3">
      <c r="A19" s="20" t="s">
        <v>646</v>
      </c>
      <c r="B19" s="20" t="s">
        <v>646</v>
      </c>
    </row>
    <row r="20" spans="1:2" x14ac:dyDescent="0.3">
      <c r="A20" s="20" t="s">
        <v>202</v>
      </c>
      <c r="B20" s="20" t="s">
        <v>202</v>
      </c>
    </row>
    <row r="21" spans="1:2" x14ac:dyDescent="0.3">
      <c r="A21" s="20" t="s">
        <v>200</v>
      </c>
      <c r="B21" s="20" t="s">
        <v>200</v>
      </c>
    </row>
    <row r="22" spans="1:2" x14ac:dyDescent="0.3">
      <c r="A22" s="20" t="s">
        <v>198</v>
      </c>
      <c r="B22" s="20" t="s">
        <v>198</v>
      </c>
    </row>
    <row r="23" spans="1:2" x14ac:dyDescent="0.3">
      <c r="A23" s="20" t="s">
        <v>647</v>
      </c>
      <c r="B23" s="20" t="s">
        <v>647</v>
      </c>
    </row>
    <row r="24" spans="1:2" x14ac:dyDescent="0.3">
      <c r="A24" s="20" t="s">
        <v>207</v>
      </c>
      <c r="B24" s="20" t="s">
        <v>207</v>
      </c>
    </row>
    <row r="25" spans="1:2" x14ac:dyDescent="0.3">
      <c r="A25" s="51" t="s">
        <v>206</v>
      </c>
      <c r="B25" s="51" t="s">
        <v>206</v>
      </c>
    </row>
    <row r="26" spans="1:2" x14ac:dyDescent="0.3">
      <c r="A26" s="51" t="s">
        <v>665</v>
      </c>
      <c r="B26" s="51" t="s">
        <v>665</v>
      </c>
    </row>
    <row r="27" spans="1:2" x14ac:dyDescent="0.3">
      <c r="A27" s="51" t="s">
        <v>208</v>
      </c>
      <c r="B27" s="51" t="s">
        <v>208</v>
      </c>
    </row>
    <row r="28" spans="1:2" x14ac:dyDescent="0.3">
      <c r="A28" s="51" t="s">
        <v>649</v>
      </c>
      <c r="B28" s="51" t="s">
        <v>649</v>
      </c>
    </row>
    <row r="29" spans="1:2" x14ac:dyDescent="0.3">
      <c r="A29" s="51" t="s">
        <v>209</v>
      </c>
      <c r="B29" s="51" t="s">
        <v>209</v>
      </c>
    </row>
    <row r="30" spans="1:2" x14ac:dyDescent="0.3">
      <c r="A30" s="20" t="s">
        <v>228</v>
      </c>
      <c r="B30" s="20" t="s">
        <v>228</v>
      </c>
    </row>
    <row r="31" spans="1:2" x14ac:dyDescent="0.3">
      <c r="A31" s="51" t="s">
        <v>229</v>
      </c>
      <c r="B31" s="51" t="s">
        <v>229</v>
      </c>
    </row>
    <row r="32" spans="1:2" x14ac:dyDescent="0.3">
      <c r="A32" s="51" t="s">
        <v>230</v>
      </c>
      <c r="B32" s="51" t="s">
        <v>230</v>
      </c>
    </row>
    <row r="33" spans="1:2" x14ac:dyDescent="0.3">
      <c r="A33" s="51" t="s">
        <v>232</v>
      </c>
      <c r="B33" s="51" t="s">
        <v>232</v>
      </c>
    </row>
    <row r="34" spans="1:2" x14ac:dyDescent="0.3">
      <c r="A34" s="51" t="s">
        <v>231</v>
      </c>
      <c r="B34" s="51" t="s">
        <v>231</v>
      </c>
    </row>
    <row r="35" spans="1:2" x14ac:dyDescent="0.3">
      <c r="A35" s="20" t="s">
        <v>243</v>
      </c>
      <c r="B35" s="20" t="s">
        <v>243</v>
      </c>
    </row>
    <row r="36" spans="1:2" x14ac:dyDescent="0.3">
      <c r="A36" s="51" t="s">
        <v>245</v>
      </c>
      <c r="B36" s="51" t="s">
        <v>245</v>
      </c>
    </row>
    <row r="37" spans="1:2" x14ac:dyDescent="0.3">
      <c r="A37" s="51" t="s">
        <v>247</v>
      </c>
      <c r="B37" s="51" t="s">
        <v>247</v>
      </c>
    </row>
    <row r="38" spans="1:2" x14ac:dyDescent="0.3">
      <c r="A38" s="51" t="s">
        <v>656</v>
      </c>
      <c r="B38" s="51" t="s">
        <v>656</v>
      </c>
    </row>
    <row r="39" spans="1:2" x14ac:dyDescent="0.3">
      <c r="A39" s="20" t="s">
        <v>249</v>
      </c>
      <c r="B39" s="20" t="s">
        <v>249</v>
      </c>
    </row>
    <row r="40" spans="1:2" x14ac:dyDescent="0.3">
      <c r="A40" s="51" t="s">
        <v>246</v>
      </c>
      <c r="B40" s="51" t="s">
        <v>246</v>
      </c>
    </row>
    <row r="41" spans="1:2" x14ac:dyDescent="0.3">
      <c r="A41" s="51" t="s">
        <v>248</v>
      </c>
      <c r="B41" s="51" t="s">
        <v>248</v>
      </c>
    </row>
    <row r="42" spans="1:2" x14ac:dyDescent="0.3">
      <c r="A42" s="51" t="s">
        <v>657</v>
      </c>
      <c r="B42" s="51" t="s">
        <v>657</v>
      </c>
    </row>
    <row r="43" spans="1:2" x14ac:dyDescent="0.3">
      <c r="A43" s="51" t="s">
        <v>236</v>
      </c>
      <c r="B43" s="51" t="s">
        <v>236</v>
      </c>
    </row>
    <row r="44" spans="1:2" x14ac:dyDescent="0.3">
      <c r="A44" s="51" t="s">
        <v>238</v>
      </c>
      <c r="B44" s="51" t="s">
        <v>238</v>
      </c>
    </row>
    <row r="45" spans="1:2" x14ac:dyDescent="0.3">
      <c r="A45" s="51" t="s">
        <v>240</v>
      </c>
      <c r="B45" s="51" t="s">
        <v>240</v>
      </c>
    </row>
    <row r="46" spans="1:2" x14ac:dyDescent="0.3">
      <c r="A46" s="51" t="s">
        <v>241</v>
      </c>
      <c r="B46" s="51" t="s">
        <v>241</v>
      </c>
    </row>
    <row r="47" spans="1:2" ht="28.8" x14ac:dyDescent="0.3">
      <c r="A47" s="81" t="s">
        <v>958</v>
      </c>
      <c r="B47" s="81" t="s">
        <v>958</v>
      </c>
    </row>
    <row r="48" spans="1:2" x14ac:dyDescent="0.3">
      <c r="A48" s="51" t="s">
        <v>654</v>
      </c>
      <c r="B48" s="51" t="s">
        <v>654</v>
      </c>
    </row>
    <row r="49" spans="1:2" x14ac:dyDescent="0.3">
      <c r="A49" s="5" t="s">
        <v>655</v>
      </c>
      <c r="B49" s="5" t="s">
        <v>655</v>
      </c>
    </row>
    <row r="50" spans="1:2" x14ac:dyDescent="0.3">
      <c r="A50" s="67" t="s">
        <v>252</v>
      </c>
      <c r="B50" s="67" t="s">
        <v>252</v>
      </c>
    </row>
    <row r="51" spans="1:2" x14ac:dyDescent="0.3">
      <c r="A51" s="67" t="s">
        <v>251</v>
      </c>
      <c r="B51" s="67" t="s">
        <v>251</v>
      </c>
    </row>
    <row r="52" spans="1:2" x14ac:dyDescent="0.3">
      <c r="A52" s="67" t="s">
        <v>250</v>
      </c>
      <c r="B52" s="67" t="s">
        <v>250</v>
      </c>
    </row>
    <row r="53" spans="1:2" x14ac:dyDescent="0.3">
      <c r="A53" s="67" t="s">
        <v>658</v>
      </c>
      <c r="B53" s="67" t="s">
        <v>658</v>
      </c>
    </row>
    <row r="54" spans="1:2" x14ac:dyDescent="0.3">
      <c r="A54" s="67" t="s">
        <v>253</v>
      </c>
      <c r="B54" s="67" t="s">
        <v>253</v>
      </c>
    </row>
    <row r="55" spans="1:2" x14ac:dyDescent="0.3">
      <c r="A55" s="20" t="s">
        <v>210</v>
      </c>
      <c r="B55" s="20" t="s">
        <v>210</v>
      </c>
    </row>
    <row r="56" spans="1:2" x14ac:dyDescent="0.3">
      <c r="A56" s="51" t="s">
        <v>212</v>
      </c>
      <c r="B56" s="51" t="s">
        <v>212</v>
      </c>
    </row>
    <row r="57" spans="1:2" x14ac:dyDescent="0.3">
      <c r="A57" s="51" t="s">
        <v>214</v>
      </c>
      <c r="B57" s="51" t="s">
        <v>214</v>
      </c>
    </row>
    <row r="58" spans="1:2" x14ac:dyDescent="0.3">
      <c r="A58" s="51" t="s">
        <v>650</v>
      </c>
      <c r="B58" s="51" t="s">
        <v>650</v>
      </c>
    </row>
    <row r="59" spans="1:2" x14ac:dyDescent="0.3">
      <c r="A59" s="20" t="s">
        <v>895</v>
      </c>
      <c r="B59" s="20" t="s">
        <v>895</v>
      </c>
    </row>
    <row r="60" spans="1:2" x14ac:dyDescent="0.3">
      <c r="A60" s="20" t="s">
        <v>211</v>
      </c>
      <c r="B60" s="20" t="s">
        <v>211</v>
      </c>
    </row>
    <row r="61" spans="1:2" x14ac:dyDescent="0.3">
      <c r="A61" s="51" t="s">
        <v>213</v>
      </c>
      <c r="B61" s="51" t="s">
        <v>213</v>
      </c>
    </row>
    <row r="62" spans="1:2" x14ac:dyDescent="0.3">
      <c r="A62" s="51" t="s">
        <v>215</v>
      </c>
      <c r="B62" s="51" t="s">
        <v>215</v>
      </c>
    </row>
    <row r="63" spans="1:2" x14ac:dyDescent="0.3">
      <c r="A63" s="51" t="s">
        <v>651</v>
      </c>
      <c r="B63" s="51" t="s">
        <v>651</v>
      </c>
    </row>
    <row r="64" spans="1:2" x14ac:dyDescent="0.3">
      <c r="A64" s="20" t="s">
        <v>234</v>
      </c>
      <c r="B64" s="20" t="s">
        <v>234</v>
      </c>
    </row>
    <row r="65" spans="1:2" x14ac:dyDescent="0.3">
      <c r="A65" s="51" t="s">
        <v>896</v>
      </c>
      <c r="B65" s="51" t="s">
        <v>896</v>
      </c>
    </row>
    <row r="66" spans="1:2" x14ac:dyDescent="0.3">
      <c r="A66" s="51" t="s">
        <v>233</v>
      </c>
      <c r="B66" s="51" t="s">
        <v>233</v>
      </c>
    </row>
    <row r="67" spans="1:2" x14ac:dyDescent="0.3">
      <c r="A67" s="51" t="s">
        <v>688</v>
      </c>
      <c r="B67" s="51" t="s">
        <v>688</v>
      </c>
    </row>
    <row r="68" spans="1:2" x14ac:dyDescent="0.3">
      <c r="A68" s="51" t="s">
        <v>235</v>
      </c>
      <c r="B68" s="51" t="s">
        <v>235</v>
      </c>
    </row>
    <row r="69" spans="1:2" x14ac:dyDescent="0.3">
      <c r="A69" s="51" t="s">
        <v>653</v>
      </c>
      <c r="B69" s="51" t="s">
        <v>653</v>
      </c>
    </row>
    <row r="70" spans="1:2" x14ac:dyDescent="0.3">
      <c r="A70" s="51" t="s">
        <v>898</v>
      </c>
      <c r="B70" s="51" t="s">
        <v>898</v>
      </c>
    </row>
    <row r="71" spans="1:2" x14ac:dyDescent="0.3">
      <c r="A71" s="51" t="s">
        <v>900</v>
      </c>
      <c r="B71" s="51" t="s">
        <v>900</v>
      </c>
    </row>
    <row r="72" spans="1:2" x14ac:dyDescent="0.3">
      <c r="A72" s="51" t="s">
        <v>652</v>
      </c>
      <c r="B72" s="51" t="s">
        <v>652</v>
      </c>
    </row>
    <row r="73" spans="1:2" x14ac:dyDescent="0.3">
      <c r="A73" s="51" t="s">
        <v>901</v>
      </c>
      <c r="B73" s="51" t="s">
        <v>901</v>
      </c>
    </row>
    <row r="74" spans="1:2" x14ac:dyDescent="0.3">
      <c r="A74" s="20" t="s">
        <v>204</v>
      </c>
      <c r="B74" s="20" t="s">
        <v>204</v>
      </c>
    </row>
    <row r="75" spans="1:2" x14ac:dyDescent="0.3">
      <c r="A75" s="51" t="s">
        <v>203</v>
      </c>
      <c r="B75" s="51" t="s">
        <v>203</v>
      </c>
    </row>
    <row r="76" spans="1:2" x14ac:dyDescent="0.3">
      <c r="A76" s="51" t="s">
        <v>205</v>
      </c>
      <c r="B76" s="51" t="s">
        <v>205</v>
      </c>
    </row>
    <row r="77" spans="1:2" x14ac:dyDescent="0.3">
      <c r="A77" s="51" t="s">
        <v>648</v>
      </c>
      <c r="B77" s="51" t="s">
        <v>648</v>
      </c>
    </row>
    <row r="78" spans="1:2" x14ac:dyDescent="0.3">
      <c r="A78" s="51" t="s">
        <v>904</v>
      </c>
      <c r="B78" s="51" t="s">
        <v>904</v>
      </c>
    </row>
    <row r="79" spans="1:2" x14ac:dyDescent="0.3">
      <c r="A79" s="20" t="s">
        <v>905</v>
      </c>
      <c r="B79" s="20" t="s">
        <v>905</v>
      </c>
    </row>
    <row r="80" spans="1:2" x14ac:dyDescent="0.3">
      <c r="A80" s="20" t="s">
        <v>906</v>
      </c>
      <c r="B80" s="20" t="s">
        <v>906</v>
      </c>
    </row>
    <row r="81" spans="1:2" x14ac:dyDescent="0.3">
      <c r="A81" s="20" t="s">
        <v>907</v>
      </c>
      <c r="B81" s="20" t="s">
        <v>907</v>
      </c>
    </row>
    <row r="82" spans="1:2" x14ac:dyDescent="0.3">
      <c r="A82" s="20" t="s">
        <v>922</v>
      </c>
      <c r="B82" s="20" t="s">
        <v>922</v>
      </c>
    </row>
    <row r="83" spans="1:2" x14ac:dyDescent="0.3">
      <c r="A83" s="20" t="s">
        <v>923</v>
      </c>
      <c r="B83" s="20" t="s">
        <v>923</v>
      </c>
    </row>
    <row r="84" spans="1:2" x14ac:dyDescent="0.3">
      <c r="A84" s="20" t="s">
        <v>924</v>
      </c>
      <c r="B84" s="20" t="s">
        <v>924</v>
      </c>
    </row>
    <row r="85" spans="1:2" x14ac:dyDescent="0.3">
      <c r="A85" s="20" t="s">
        <v>925</v>
      </c>
      <c r="B85" s="20" t="s">
        <v>925</v>
      </c>
    </row>
    <row r="86" spans="1:2" x14ac:dyDescent="0.3">
      <c r="A86" s="20" t="s">
        <v>926</v>
      </c>
      <c r="B86" s="20" t="s">
        <v>926</v>
      </c>
    </row>
    <row r="87" spans="1:2" x14ac:dyDescent="0.3">
      <c r="A87" s="20" t="s">
        <v>928</v>
      </c>
      <c r="B87" s="20" t="s">
        <v>928</v>
      </c>
    </row>
    <row r="88" spans="1:2" x14ac:dyDescent="0.3">
      <c r="A88" s="20" t="s">
        <v>929</v>
      </c>
      <c r="B88" s="20" t="s">
        <v>929</v>
      </c>
    </row>
    <row r="414" spans="1:2" x14ac:dyDescent="0.3">
      <c r="A414">
        <v>3</v>
      </c>
      <c r="B414">
        <v>3</v>
      </c>
    </row>
    <row r="415" spans="1:2" x14ac:dyDescent="0.3">
      <c r="A415">
        <v>5</v>
      </c>
      <c r="B415">
        <v>5</v>
      </c>
    </row>
    <row r="416" spans="1:2" x14ac:dyDescent="0.3">
      <c r="A416">
        <v>5</v>
      </c>
      <c r="B416">
        <v>5</v>
      </c>
    </row>
    <row r="417" spans="1:2" x14ac:dyDescent="0.3">
      <c r="A417">
        <v>5</v>
      </c>
      <c r="B417">
        <v>5</v>
      </c>
    </row>
    <row r="418" spans="1:2" x14ac:dyDescent="0.3">
      <c r="A418">
        <v>9</v>
      </c>
      <c r="B418">
        <v>9</v>
      </c>
    </row>
    <row r="419" spans="1:2" x14ac:dyDescent="0.3">
      <c r="A419" t="s">
        <v>909</v>
      </c>
      <c r="B419" t="s">
        <v>909</v>
      </c>
    </row>
  </sheetData>
  <sortState xmlns:xlrd2="http://schemas.microsoft.com/office/spreadsheetml/2017/richdata2" ref="A2:B418">
    <sortCondition ref="A2:A82"/>
    <sortCondition ref="B2:B8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
  <sheetViews>
    <sheetView tabSelected="1" workbookViewId="0">
      <selection activeCell="J18" sqref="J18"/>
    </sheetView>
  </sheetViews>
  <sheetFormatPr defaultRowHeight="14.4" x14ac:dyDescent="0.3"/>
  <cols>
    <col min="1" max="1" width="16.44140625" customWidth="1"/>
    <col min="2" max="2" width="28.6640625" customWidth="1"/>
  </cols>
  <sheetData>
    <row r="1" spans="1:4" ht="30" customHeight="1" x14ac:dyDescent="0.3">
      <c r="A1" s="4" t="s">
        <v>254</v>
      </c>
      <c r="B1" s="4" t="s">
        <v>255</v>
      </c>
    </row>
    <row r="2" spans="1:4" x14ac:dyDescent="0.3">
      <c r="A2" s="5" t="s">
        <v>256</v>
      </c>
      <c r="B2" s="5" t="s">
        <v>257</v>
      </c>
      <c r="C2" t="s">
        <v>1036</v>
      </c>
      <c r="D2" t="s">
        <v>1035</v>
      </c>
    </row>
    <row r="3" spans="1:4" x14ac:dyDescent="0.3">
      <c r="A3" s="5" t="s">
        <v>258</v>
      </c>
      <c r="B3" s="5" t="s">
        <v>259</v>
      </c>
      <c r="C3" t="s">
        <v>1037</v>
      </c>
      <c r="D3" t="s">
        <v>927</v>
      </c>
    </row>
    <row r="4" spans="1:4" x14ac:dyDescent="0.3">
      <c r="A4" s="5" t="s">
        <v>260</v>
      </c>
      <c r="B4" s="5" t="s">
        <v>261</v>
      </c>
      <c r="C4" t="s">
        <v>1038</v>
      </c>
      <c r="D4" t="s">
        <v>937</v>
      </c>
    </row>
    <row r="5" spans="1:4" x14ac:dyDescent="0.3">
      <c r="A5" s="5" t="s">
        <v>262</v>
      </c>
      <c r="B5" s="5" t="s">
        <v>263</v>
      </c>
      <c r="C5" t="s">
        <v>1039</v>
      </c>
      <c r="D5" t="s">
        <v>914</v>
      </c>
    </row>
    <row r="6" spans="1:4" x14ac:dyDescent="0.3">
      <c r="A6" s="5" t="s">
        <v>264</v>
      </c>
      <c r="B6" s="5" t="s">
        <v>265</v>
      </c>
      <c r="C6" t="s">
        <v>1040</v>
      </c>
      <c r="D6" t="s">
        <v>919</v>
      </c>
    </row>
    <row r="7" spans="1:4" x14ac:dyDescent="0.3">
      <c r="A7" s="5" t="s">
        <v>266</v>
      </c>
      <c r="B7" s="5" t="s">
        <v>267</v>
      </c>
    </row>
    <row r="8" spans="1:4" x14ac:dyDescent="0.3">
      <c r="A8" s="5" t="s">
        <v>268</v>
      </c>
      <c r="B8" s="5" t="s">
        <v>269</v>
      </c>
    </row>
    <row r="9" spans="1:4" x14ac:dyDescent="0.3">
      <c r="A9" s="5" t="s">
        <v>270</v>
      </c>
      <c r="B9" s="5" t="s">
        <v>271</v>
      </c>
    </row>
    <row r="10" spans="1:4" x14ac:dyDescent="0.3">
      <c r="A10" s="5" t="s">
        <v>272</v>
      </c>
      <c r="B10" s="5" t="s">
        <v>273</v>
      </c>
    </row>
    <row r="11" spans="1:4" x14ac:dyDescent="0.3">
      <c r="A11" s="5" t="s">
        <v>274</v>
      </c>
      <c r="B11" s="5" t="s">
        <v>275</v>
      </c>
    </row>
    <row r="12" spans="1:4" x14ac:dyDescent="0.3">
      <c r="A12" s="5" t="s">
        <v>276</v>
      </c>
      <c r="B12" s="5" t="s">
        <v>277</v>
      </c>
    </row>
    <row r="13" spans="1:4" x14ac:dyDescent="0.3">
      <c r="A13" s="5" t="s">
        <v>278</v>
      </c>
      <c r="B13" s="5" t="s">
        <v>279</v>
      </c>
    </row>
    <row r="14" spans="1:4" x14ac:dyDescent="0.3">
      <c r="A14" s="5" t="s">
        <v>280</v>
      </c>
      <c r="B14" s="5" t="s">
        <v>281</v>
      </c>
    </row>
    <row r="15" spans="1:4" x14ac:dyDescent="0.3">
      <c r="A15" s="5" t="s">
        <v>282</v>
      </c>
      <c r="B15" s="5" t="s">
        <v>283</v>
      </c>
    </row>
    <row r="16" spans="1:4" x14ac:dyDescent="0.3">
      <c r="A16" s="5" t="s">
        <v>284</v>
      </c>
      <c r="B16" s="5" t="s">
        <v>285</v>
      </c>
    </row>
    <row r="17" spans="1:2" x14ac:dyDescent="0.3">
      <c r="A17" s="5" t="s">
        <v>286</v>
      </c>
      <c r="B17" s="5" t="s">
        <v>287</v>
      </c>
    </row>
    <row r="18" spans="1:2" x14ac:dyDescent="0.3">
      <c r="A18" s="5" t="s">
        <v>288</v>
      </c>
      <c r="B18" s="5" t="s">
        <v>289</v>
      </c>
    </row>
    <row r="19" spans="1:2" x14ac:dyDescent="0.3">
      <c r="A19" s="5" t="s">
        <v>290</v>
      </c>
      <c r="B19" s="5" t="s">
        <v>291</v>
      </c>
    </row>
    <row r="20" spans="1:2" x14ac:dyDescent="0.3">
      <c r="A20" s="5" t="s">
        <v>292</v>
      </c>
      <c r="B20" s="5" t="s">
        <v>293</v>
      </c>
    </row>
    <row r="21" spans="1:2" x14ac:dyDescent="0.3">
      <c r="A21" s="5" t="s">
        <v>294</v>
      </c>
      <c r="B21" s="5" t="s">
        <v>295</v>
      </c>
    </row>
    <row r="22" spans="1:2" x14ac:dyDescent="0.3">
      <c r="A22" s="5" t="s">
        <v>296</v>
      </c>
      <c r="B22" s="5" t="s">
        <v>297</v>
      </c>
    </row>
    <row r="23" spans="1:2" x14ac:dyDescent="0.3">
      <c r="A23" s="5" t="s">
        <v>298</v>
      </c>
      <c r="B23" s="5" t="s">
        <v>299</v>
      </c>
    </row>
    <row r="24" spans="1:2" x14ac:dyDescent="0.3">
      <c r="A24" s="5" t="s">
        <v>300</v>
      </c>
      <c r="B24" s="5" t="s">
        <v>301</v>
      </c>
    </row>
    <row r="25" spans="1:2" x14ac:dyDescent="0.3">
      <c r="A25" s="5" t="s">
        <v>302</v>
      </c>
      <c r="B25" s="5" t="s">
        <v>303</v>
      </c>
    </row>
    <row r="26" spans="1:2" x14ac:dyDescent="0.3">
      <c r="A26" s="5" t="s">
        <v>915</v>
      </c>
      <c r="B26" s="5" t="s">
        <v>304</v>
      </c>
    </row>
    <row r="27" spans="1:2" x14ac:dyDescent="0.3">
      <c r="A27" s="5" t="s">
        <v>916</v>
      </c>
      <c r="B27" s="5" t="s">
        <v>305</v>
      </c>
    </row>
    <row r="28" spans="1:2" x14ac:dyDescent="0.3">
      <c r="A28" s="5" t="s">
        <v>684</v>
      </c>
      <c r="B28" s="5" t="s">
        <v>684</v>
      </c>
    </row>
    <row r="29" spans="1:2" x14ac:dyDescent="0.3">
      <c r="A29" s="5" t="s">
        <v>917</v>
      </c>
      <c r="B29" s="5" t="s">
        <v>917</v>
      </c>
    </row>
    <row r="30" spans="1:2" x14ac:dyDescent="0.3">
      <c r="A30" s="5" t="s">
        <v>918</v>
      </c>
      <c r="B30" s="5" t="s">
        <v>918</v>
      </c>
    </row>
    <row r="31" spans="1:2" x14ac:dyDescent="0.3">
      <c r="A31" s="5" t="s">
        <v>910</v>
      </c>
      <c r="B31" s="71" t="s">
        <v>954</v>
      </c>
    </row>
    <row r="32" spans="1:2" x14ac:dyDescent="0.3">
      <c r="A32" s="5" t="s">
        <v>911</v>
      </c>
      <c r="B32" s="5" t="s">
        <v>935</v>
      </c>
    </row>
    <row r="33" spans="1:2" x14ac:dyDescent="0.3">
      <c r="A33" s="5" t="s">
        <v>912</v>
      </c>
      <c r="B33" s="5" t="s">
        <v>936</v>
      </c>
    </row>
    <row r="34" spans="1:2" x14ac:dyDescent="0.3">
      <c r="A34" s="71" t="s">
        <v>989</v>
      </c>
      <c r="B34" s="71" t="s">
        <v>989</v>
      </c>
    </row>
    <row r="35" spans="1:2" x14ac:dyDescent="0.3">
      <c r="A35" s="71" t="s">
        <v>1008</v>
      </c>
      <c r="B35" s="71" t="s">
        <v>1011</v>
      </c>
    </row>
    <row r="36" spans="1:2" x14ac:dyDescent="0.3">
      <c r="A36" s="71" t="s">
        <v>1009</v>
      </c>
      <c r="B36" t="s">
        <v>1010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391"/>
  <sheetViews>
    <sheetView topLeftCell="D1" workbookViewId="0">
      <selection activeCell="I400" sqref="I400"/>
    </sheetView>
  </sheetViews>
  <sheetFormatPr defaultRowHeight="14.4" x14ac:dyDescent="0.3"/>
  <cols>
    <col min="2" max="2" width="8" customWidth="1"/>
    <col min="3" max="3" width="10.88671875" customWidth="1"/>
    <col min="4" max="4" width="33.5546875" customWidth="1"/>
    <col min="5" max="5" width="5.33203125" customWidth="1"/>
    <col min="6" max="6" width="7.109375" customWidth="1"/>
    <col min="7" max="7" width="27.44140625" customWidth="1"/>
  </cols>
  <sheetData>
    <row r="1" spans="1:12" ht="28.8" x14ac:dyDescent="0.3">
      <c r="A1" s="78" t="s">
        <v>659</v>
      </c>
      <c r="B1" s="79" t="s">
        <v>196</v>
      </c>
      <c r="C1" s="80" t="s">
        <v>306</v>
      </c>
      <c r="D1" s="78" t="s">
        <v>307</v>
      </c>
      <c r="E1" s="78" t="s">
        <v>162</v>
      </c>
      <c r="F1" s="80" t="s">
        <v>0</v>
      </c>
      <c r="G1" s="78" t="s">
        <v>1</v>
      </c>
      <c r="H1" s="80" t="s">
        <v>645</v>
      </c>
      <c r="L1" t="s">
        <v>913</v>
      </c>
    </row>
    <row r="2" spans="1:12" hidden="1" x14ac:dyDescent="0.3">
      <c r="A2" s="5" t="s">
        <v>667</v>
      </c>
      <c r="B2" s="81" t="s">
        <v>219</v>
      </c>
      <c r="C2" s="82" t="s">
        <v>420</v>
      </c>
      <c r="D2" s="5" t="s">
        <v>421</v>
      </c>
      <c r="E2" s="2">
        <v>2</v>
      </c>
      <c r="F2" s="9" t="s">
        <v>18</v>
      </c>
      <c r="G2" s="5" t="str">
        <f>VLOOKUP('[1]Beban Mengajar'!F2,[1]Dosen!A:B,2)</f>
        <v>Aditya Narendra Wardhana, S.T., M.SM.</v>
      </c>
      <c r="H2" t="s">
        <v>938</v>
      </c>
    </row>
    <row r="3" spans="1:12" hidden="1" x14ac:dyDescent="0.3">
      <c r="A3" s="5" t="s">
        <v>667</v>
      </c>
      <c r="B3" s="81" t="s">
        <v>218</v>
      </c>
      <c r="C3" s="82" t="s">
        <v>332</v>
      </c>
      <c r="D3" s="5" t="s">
        <v>333</v>
      </c>
      <c r="E3" s="47">
        <v>3</v>
      </c>
      <c r="F3" s="9" t="s">
        <v>154</v>
      </c>
      <c r="G3" s="5" t="str">
        <f>VLOOKUP('[1]Beban Mengajar'!F3,[1]Dosen!A:B,2)</f>
        <v>Rosa Rilantiana, S.E., M.M.</v>
      </c>
      <c r="H3" t="s">
        <v>938</v>
      </c>
    </row>
    <row r="4" spans="1:12" hidden="1" x14ac:dyDescent="0.3">
      <c r="A4" s="5" t="s">
        <v>667</v>
      </c>
      <c r="B4" s="83" t="s">
        <v>863</v>
      </c>
      <c r="C4" s="82" t="s">
        <v>431</v>
      </c>
      <c r="D4" s="5" t="s">
        <v>432</v>
      </c>
      <c r="E4" s="47">
        <v>3</v>
      </c>
      <c r="F4" s="84" t="s">
        <v>18</v>
      </c>
      <c r="G4" s="5" t="str">
        <f>VLOOKUP('[1]Beban Mengajar'!F4,[1]Dosen!A:B,2)</f>
        <v>Aditya Narendra Wardhana, S.T., M.SM.</v>
      </c>
      <c r="H4" t="s">
        <v>938</v>
      </c>
    </row>
    <row r="5" spans="1:12" hidden="1" x14ac:dyDescent="0.3">
      <c r="A5" s="5" t="s">
        <v>667</v>
      </c>
      <c r="B5" s="81" t="s">
        <v>220</v>
      </c>
      <c r="C5" s="82" t="s">
        <v>334</v>
      </c>
      <c r="D5" s="5" t="s">
        <v>335</v>
      </c>
      <c r="E5" s="47">
        <v>3</v>
      </c>
      <c r="F5" s="9" t="s">
        <v>18</v>
      </c>
      <c r="G5" s="5" t="str">
        <f>VLOOKUP('[1]Beban Mengajar'!F5,[1]Dosen!A:B,2)</f>
        <v>Aditya Narendra Wardhana, S.T., M.SM.</v>
      </c>
      <c r="H5" t="s">
        <v>938</v>
      </c>
    </row>
    <row r="6" spans="1:12" hidden="1" x14ac:dyDescent="0.3">
      <c r="A6" s="5" t="s">
        <v>667</v>
      </c>
      <c r="B6" s="81" t="s">
        <v>227</v>
      </c>
      <c r="C6" s="82" t="s">
        <v>700</v>
      </c>
      <c r="D6" s="5" t="s">
        <v>442</v>
      </c>
      <c r="E6" s="47">
        <v>3</v>
      </c>
      <c r="F6" s="9" t="s">
        <v>113</v>
      </c>
      <c r="G6" s="5" t="str">
        <f>VLOOKUP('[1]Beban Mengajar'!F6,[1]Dosen!A:B,2)</f>
        <v>Mirza Dwinanda Ilmawan, S.E., M.M.</v>
      </c>
      <c r="H6" t="s">
        <v>938</v>
      </c>
    </row>
    <row r="7" spans="1:12" hidden="1" x14ac:dyDescent="0.3">
      <c r="A7" s="5" t="s">
        <v>667</v>
      </c>
      <c r="B7" s="81" t="s">
        <v>219</v>
      </c>
      <c r="C7" s="82" t="s">
        <v>440</v>
      </c>
      <c r="D7" s="5" t="s">
        <v>338</v>
      </c>
      <c r="E7" s="47">
        <v>3</v>
      </c>
      <c r="F7" s="9" t="s">
        <v>16</v>
      </c>
      <c r="G7" s="5" t="str">
        <f>VLOOKUP('[1]Beban Mengajar'!F7,[1]Dosen!A:B,2)</f>
        <v>Alfina, S.M., M.M.</v>
      </c>
      <c r="H7" t="s">
        <v>938</v>
      </c>
    </row>
    <row r="8" spans="1:12" hidden="1" x14ac:dyDescent="0.3">
      <c r="A8" s="5" t="s">
        <v>667</v>
      </c>
      <c r="B8" s="83" t="s">
        <v>863</v>
      </c>
      <c r="C8" s="82" t="s">
        <v>703</v>
      </c>
      <c r="D8" s="5" t="s">
        <v>704</v>
      </c>
      <c r="E8" s="47">
        <v>3</v>
      </c>
      <c r="F8" s="84" t="s">
        <v>16</v>
      </c>
      <c r="G8" s="5" t="str">
        <f>VLOOKUP('[1]Beban Mengajar'!F8,[1]Dosen!A:B,2)</f>
        <v>Alfina, S.M., M.M.</v>
      </c>
      <c r="H8" t="s">
        <v>938</v>
      </c>
    </row>
    <row r="9" spans="1:12" hidden="1" x14ac:dyDescent="0.3">
      <c r="A9" s="5" t="s">
        <v>667</v>
      </c>
      <c r="B9" s="83" t="s">
        <v>863</v>
      </c>
      <c r="C9" s="82" t="s">
        <v>705</v>
      </c>
      <c r="D9" s="5" t="s">
        <v>706</v>
      </c>
      <c r="E9" s="47">
        <v>3</v>
      </c>
      <c r="F9" s="84" t="s">
        <v>16</v>
      </c>
      <c r="G9" s="5" t="str">
        <f>VLOOKUP('[1]Beban Mengajar'!F9,[1]Dosen!A:B,2)</f>
        <v>Alfina, S.M., M.M.</v>
      </c>
      <c r="H9" t="s">
        <v>938</v>
      </c>
    </row>
    <row r="10" spans="1:12" hidden="1" x14ac:dyDescent="0.3">
      <c r="A10" s="5" t="s">
        <v>667</v>
      </c>
      <c r="B10" s="81" t="s">
        <v>216</v>
      </c>
      <c r="C10" s="85" t="s">
        <v>332</v>
      </c>
      <c r="D10" s="5" t="s">
        <v>333</v>
      </c>
      <c r="E10" s="47">
        <v>3</v>
      </c>
      <c r="F10" s="9" t="s">
        <v>18</v>
      </c>
      <c r="G10" s="5" t="str">
        <f>VLOOKUP('[1]Beban Mengajar'!F10,[1]Dosen!A:B,2)</f>
        <v>Aditya Narendra Wardhana, S.T., M.SM.</v>
      </c>
      <c r="H10" t="s">
        <v>938</v>
      </c>
    </row>
    <row r="11" spans="1:12" hidden="1" x14ac:dyDescent="0.3">
      <c r="A11" s="5" t="s">
        <v>667</v>
      </c>
      <c r="B11" s="81" t="s">
        <v>221</v>
      </c>
      <c r="C11" s="82" t="s">
        <v>420</v>
      </c>
      <c r="D11" s="5" t="s">
        <v>421</v>
      </c>
      <c r="E11" s="2">
        <v>2</v>
      </c>
      <c r="F11" s="9" t="s">
        <v>16</v>
      </c>
      <c r="G11" s="5" t="str">
        <f>VLOOKUP('[1]Beban Mengajar'!F11,[1]Dosen!A:B,2)</f>
        <v>Alfina, S.M., M.M.</v>
      </c>
      <c r="H11" t="s">
        <v>938</v>
      </c>
    </row>
    <row r="12" spans="1:12" hidden="1" x14ac:dyDescent="0.3">
      <c r="A12" s="5" t="s">
        <v>667</v>
      </c>
      <c r="B12" s="81" t="s">
        <v>217</v>
      </c>
      <c r="C12" s="82" t="s">
        <v>332</v>
      </c>
      <c r="D12" s="5" t="s">
        <v>333</v>
      </c>
      <c r="E12" s="47">
        <v>3</v>
      </c>
      <c r="F12" s="9" t="s">
        <v>16</v>
      </c>
      <c r="G12" s="5" t="str">
        <f>VLOOKUP('[1]Beban Mengajar'!F12,[1]Dosen!A:B,2)</f>
        <v>Alfina, S.M., M.M.</v>
      </c>
      <c r="H12" t="s">
        <v>938</v>
      </c>
    </row>
    <row r="13" spans="1:12" hidden="1" x14ac:dyDescent="0.3">
      <c r="A13" s="5" t="s">
        <v>667</v>
      </c>
      <c r="B13" s="81" t="s">
        <v>217</v>
      </c>
      <c r="C13" s="82" t="s">
        <v>418</v>
      </c>
      <c r="D13" s="5" t="s">
        <v>419</v>
      </c>
      <c r="E13" s="47">
        <v>3</v>
      </c>
      <c r="F13" s="9" t="s">
        <v>109</v>
      </c>
      <c r="G13" s="5" t="str">
        <f>VLOOKUP('[1]Beban Mengajar'!F13,[1]Dosen!A:B,2)</f>
        <v>Muhammad Akbar, S.E., M.Acc., Ak.</v>
      </c>
      <c r="H13" t="s">
        <v>938</v>
      </c>
    </row>
    <row r="14" spans="1:12" hidden="1" x14ac:dyDescent="0.3">
      <c r="A14" s="5" t="s">
        <v>667</v>
      </c>
      <c r="B14" s="81" t="s">
        <v>219</v>
      </c>
      <c r="C14" s="82" t="s">
        <v>438</v>
      </c>
      <c r="D14" s="5" t="s">
        <v>439</v>
      </c>
      <c r="E14" s="47">
        <v>3</v>
      </c>
      <c r="F14" s="9" t="s">
        <v>690</v>
      </c>
      <c r="G14" s="5" t="str">
        <f>VLOOKUP('[1]Beban Mengajar'!F14,[1]Dosen!A:B,2)</f>
        <v>Fitri Ramadhan</v>
      </c>
      <c r="H14" t="s">
        <v>938</v>
      </c>
    </row>
    <row r="15" spans="1:12" hidden="1" x14ac:dyDescent="0.3">
      <c r="A15" s="5" t="s">
        <v>667</v>
      </c>
      <c r="B15" s="81" t="s">
        <v>220</v>
      </c>
      <c r="C15" s="82" t="s">
        <v>438</v>
      </c>
      <c r="D15" s="5" t="s">
        <v>439</v>
      </c>
      <c r="E15" s="47">
        <v>3</v>
      </c>
      <c r="F15" s="9" t="s">
        <v>690</v>
      </c>
      <c r="G15" s="5" t="str">
        <f>VLOOKUP('[1]Beban Mengajar'!F15,[1]Dosen!A:B,2)</f>
        <v>Fitri Ramadhan</v>
      </c>
      <c r="H15" t="s">
        <v>938</v>
      </c>
    </row>
    <row r="16" spans="1:12" hidden="1" x14ac:dyDescent="0.3">
      <c r="A16" s="5" t="s">
        <v>667</v>
      </c>
      <c r="B16" s="81" t="s">
        <v>221</v>
      </c>
      <c r="C16" s="82" t="s">
        <v>438</v>
      </c>
      <c r="D16" s="5" t="s">
        <v>439</v>
      </c>
      <c r="E16" s="47">
        <v>3</v>
      </c>
      <c r="F16" s="9" t="s">
        <v>49</v>
      </c>
      <c r="G16" s="5" t="str">
        <f>VLOOKUP('[1]Beban Mengajar'!F16,[1]Dosen!A:B,2)</f>
        <v>Husnunnida Maharani</v>
      </c>
      <c r="H16" t="s">
        <v>938</v>
      </c>
    </row>
    <row r="17" spans="1:8" hidden="1" x14ac:dyDescent="0.3">
      <c r="A17" s="5" t="s">
        <v>667</v>
      </c>
      <c r="B17" s="81" t="s">
        <v>227</v>
      </c>
      <c r="C17" s="82" t="s">
        <v>434</v>
      </c>
      <c r="D17" s="5" t="s">
        <v>435</v>
      </c>
      <c r="E17" s="2">
        <v>2</v>
      </c>
      <c r="F17" s="9" t="s">
        <v>26</v>
      </c>
      <c r="G17" s="5" t="str">
        <f>VLOOKUP('[1]Beban Mengajar'!F17,[1]Dosen!A:B,2)</f>
        <v>Brina Miftahurrohmah, S.Si., M.Si</v>
      </c>
      <c r="H17" t="s">
        <v>938</v>
      </c>
    </row>
    <row r="18" spans="1:8" hidden="1" x14ac:dyDescent="0.3">
      <c r="A18" s="5" t="s">
        <v>667</v>
      </c>
      <c r="B18" s="81" t="s">
        <v>227</v>
      </c>
      <c r="C18" s="82" t="s">
        <v>443</v>
      </c>
      <c r="D18" s="5" t="s">
        <v>701</v>
      </c>
      <c r="E18" s="47">
        <v>3</v>
      </c>
      <c r="F18" s="9" t="s">
        <v>36</v>
      </c>
      <c r="G18" s="5" t="str">
        <f>VLOOKUP('[1]Beban Mengajar'!F18,[1]Dosen!A:B,2)</f>
        <v>Dr. Erlina Diamastuti, S.E., M.Si., Ak, CA</v>
      </c>
      <c r="H18" t="s">
        <v>938</v>
      </c>
    </row>
    <row r="19" spans="1:8" hidden="1" x14ac:dyDescent="0.3">
      <c r="A19" s="5" t="s">
        <v>667</v>
      </c>
      <c r="B19" s="81" t="s">
        <v>224</v>
      </c>
      <c r="C19" s="82" t="s">
        <v>430</v>
      </c>
      <c r="D19" s="5" t="s">
        <v>437</v>
      </c>
      <c r="E19" s="47">
        <v>3</v>
      </c>
      <c r="F19" s="9" t="s">
        <v>8</v>
      </c>
      <c r="G19" s="5" t="str">
        <f>VLOOKUP('[1]Beban Mengajar'!F19,[1]Dosen!A:B,2)</f>
        <v>Ahmad Dahlan Malik, B.A.(Hons). M.Ec.</v>
      </c>
      <c r="H19" t="s">
        <v>938</v>
      </c>
    </row>
    <row r="20" spans="1:8" hidden="1" x14ac:dyDescent="0.3">
      <c r="A20" s="5" t="s">
        <v>667</v>
      </c>
      <c r="B20" s="81" t="s">
        <v>219</v>
      </c>
      <c r="C20" s="82" t="s">
        <v>337</v>
      </c>
      <c r="D20" s="5" t="s">
        <v>441</v>
      </c>
      <c r="E20" s="47">
        <v>3</v>
      </c>
      <c r="F20" s="9" t="s">
        <v>129</v>
      </c>
      <c r="G20" s="5" t="str">
        <f>VLOOKUP('[1]Beban Mengajar'!F20,[1]Dosen!A:B,2)</f>
        <v>Nur Eliza Faizaty, S.E., M.Si</v>
      </c>
      <c r="H20" t="s">
        <v>938</v>
      </c>
    </row>
    <row r="21" spans="1:8" hidden="1" x14ac:dyDescent="0.3">
      <c r="A21" s="5" t="s">
        <v>667</v>
      </c>
      <c r="B21" s="81" t="s">
        <v>219</v>
      </c>
      <c r="C21" s="82" t="s">
        <v>328</v>
      </c>
      <c r="D21" s="5" t="s">
        <v>329</v>
      </c>
      <c r="E21" s="47">
        <v>3</v>
      </c>
      <c r="F21" s="9" t="s">
        <v>129</v>
      </c>
      <c r="G21" s="5" t="str">
        <f>VLOOKUP('[1]Beban Mengajar'!F21,[1]Dosen!A:B,2)</f>
        <v>Nur Eliza Faizaty, S.E., M.Si</v>
      </c>
      <c r="H21" t="s">
        <v>938</v>
      </c>
    </row>
    <row r="22" spans="1:8" hidden="1" x14ac:dyDescent="0.3">
      <c r="A22" s="5" t="s">
        <v>667</v>
      </c>
      <c r="B22" s="81" t="s">
        <v>222</v>
      </c>
      <c r="C22" s="82" t="s">
        <v>426</v>
      </c>
      <c r="D22" s="5" t="s">
        <v>427</v>
      </c>
      <c r="E22" s="2">
        <v>2</v>
      </c>
      <c r="F22" s="9" t="s">
        <v>129</v>
      </c>
      <c r="G22" s="5" t="str">
        <f>VLOOKUP('[1]Beban Mengajar'!F22,[1]Dosen!A:B,2)</f>
        <v>Nur Eliza Faizaty, S.E., M.Si</v>
      </c>
      <c r="H22" t="s">
        <v>938</v>
      </c>
    </row>
    <row r="23" spans="1:8" hidden="1" x14ac:dyDescent="0.3">
      <c r="A23" s="5" t="s">
        <v>667</v>
      </c>
      <c r="B23" s="81" t="s">
        <v>220</v>
      </c>
      <c r="C23" s="82" t="s">
        <v>337</v>
      </c>
      <c r="D23" s="5" t="s">
        <v>441</v>
      </c>
      <c r="E23" s="47">
        <v>3</v>
      </c>
      <c r="F23" s="9" t="s">
        <v>129</v>
      </c>
      <c r="G23" s="5" t="str">
        <f>VLOOKUP('[1]Beban Mengajar'!F23,[1]Dosen!A:B,2)</f>
        <v>Nur Eliza Faizaty, S.E., M.Si</v>
      </c>
      <c r="H23" t="s">
        <v>938</v>
      </c>
    </row>
    <row r="24" spans="1:8" hidden="1" x14ac:dyDescent="0.3">
      <c r="A24" s="5" t="s">
        <v>667</v>
      </c>
      <c r="B24" s="81" t="s">
        <v>221</v>
      </c>
      <c r="C24" s="82" t="s">
        <v>337</v>
      </c>
      <c r="D24" s="5" t="s">
        <v>441</v>
      </c>
      <c r="E24" s="47">
        <v>3</v>
      </c>
      <c r="F24" s="9" t="s">
        <v>129</v>
      </c>
      <c r="G24" s="5" t="str">
        <f>VLOOKUP('[1]Beban Mengajar'!F24,[1]Dosen!A:B,2)</f>
        <v>Nur Eliza Faizaty, S.E., M.Si</v>
      </c>
      <c r="H24" t="s">
        <v>938</v>
      </c>
    </row>
    <row r="25" spans="1:8" hidden="1" x14ac:dyDescent="0.3">
      <c r="A25" s="5" t="s">
        <v>667</v>
      </c>
      <c r="B25" s="81" t="s">
        <v>221</v>
      </c>
      <c r="C25" s="82" t="s">
        <v>328</v>
      </c>
      <c r="D25" s="5" t="s">
        <v>329</v>
      </c>
      <c r="E25" s="47">
        <v>3</v>
      </c>
      <c r="F25" s="9" t="s">
        <v>129</v>
      </c>
      <c r="G25" s="5" t="str">
        <f>VLOOKUP('[1]Beban Mengajar'!F25,[1]Dosen!A:B,2)</f>
        <v>Nur Eliza Faizaty, S.E., M.Si</v>
      </c>
      <c r="H25" t="s">
        <v>938</v>
      </c>
    </row>
    <row r="26" spans="1:8" hidden="1" x14ac:dyDescent="0.3">
      <c r="A26" s="5" t="s">
        <v>667</v>
      </c>
      <c r="B26" s="81" t="s">
        <v>219</v>
      </c>
      <c r="C26" s="82" t="s">
        <v>326</v>
      </c>
      <c r="D26" s="5" t="s">
        <v>327</v>
      </c>
      <c r="E26" s="47">
        <v>3</v>
      </c>
      <c r="F26" s="9" t="s">
        <v>14</v>
      </c>
      <c r="G26" s="5" t="str">
        <f>VLOOKUP('[1]Beban Mengajar'!F26,[1]Dosen!A:B,2)</f>
        <v>Ahmad Hudaifah, S.E., M.Ec.</v>
      </c>
      <c r="H26" t="s">
        <v>938</v>
      </c>
    </row>
    <row r="27" spans="1:8" hidden="1" x14ac:dyDescent="0.3">
      <c r="A27" s="5" t="s">
        <v>667</v>
      </c>
      <c r="B27" s="81" t="s">
        <v>220</v>
      </c>
      <c r="C27" s="82" t="s">
        <v>326</v>
      </c>
      <c r="D27" s="5" t="s">
        <v>327</v>
      </c>
      <c r="E27" s="47">
        <v>3</v>
      </c>
      <c r="F27" s="9" t="s">
        <v>14</v>
      </c>
      <c r="G27" s="5" t="str">
        <f>VLOOKUP('[1]Beban Mengajar'!F27,[1]Dosen!A:B,2)</f>
        <v>Ahmad Hudaifah, S.E., M.Ec.</v>
      </c>
      <c r="H27" t="s">
        <v>938</v>
      </c>
    </row>
    <row r="28" spans="1:8" hidden="1" x14ac:dyDescent="0.3">
      <c r="A28" s="5" t="s">
        <v>667</v>
      </c>
      <c r="B28" s="81" t="s">
        <v>221</v>
      </c>
      <c r="C28" s="82" t="s">
        <v>326</v>
      </c>
      <c r="D28" s="5" t="s">
        <v>327</v>
      </c>
      <c r="E28" s="47">
        <v>3</v>
      </c>
      <c r="F28" s="9" t="s">
        <v>14</v>
      </c>
      <c r="G28" s="5" t="str">
        <f>VLOOKUP('[1]Beban Mengajar'!F28,[1]Dosen!A:B,2)</f>
        <v>Ahmad Hudaifah, S.E., M.Ec.</v>
      </c>
      <c r="H28" t="s">
        <v>938</v>
      </c>
    </row>
    <row r="29" spans="1:8" hidden="1" x14ac:dyDescent="0.3">
      <c r="A29" s="5" t="s">
        <v>667</v>
      </c>
      <c r="B29" s="81" t="s">
        <v>223</v>
      </c>
      <c r="C29" s="82" t="s">
        <v>426</v>
      </c>
      <c r="D29" s="5" t="s">
        <v>427</v>
      </c>
      <c r="E29" s="2">
        <v>2</v>
      </c>
      <c r="F29" s="36" t="s">
        <v>95</v>
      </c>
      <c r="G29" s="37" t="s">
        <v>864</v>
      </c>
      <c r="H29" t="s">
        <v>938</v>
      </c>
    </row>
    <row r="30" spans="1:8" hidden="1" x14ac:dyDescent="0.3">
      <c r="A30" s="5" t="s">
        <v>667</v>
      </c>
      <c r="B30" s="81" t="s">
        <v>224</v>
      </c>
      <c r="C30" s="82" t="s">
        <v>426</v>
      </c>
      <c r="D30" s="5" t="s">
        <v>427</v>
      </c>
      <c r="E30" s="2">
        <v>2</v>
      </c>
      <c r="F30" s="36" t="s">
        <v>95</v>
      </c>
      <c r="G30" s="37" t="s">
        <v>864</v>
      </c>
      <c r="H30" t="s">
        <v>938</v>
      </c>
    </row>
    <row r="31" spans="1:8" hidden="1" x14ac:dyDescent="0.3">
      <c r="A31" s="5" t="s">
        <v>667</v>
      </c>
      <c r="B31" s="81" t="s">
        <v>225</v>
      </c>
      <c r="C31" s="82" t="s">
        <v>423</v>
      </c>
      <c r="D31" s="5" t="s">
        <v>424</v>
      </c>
      <c r="E31" s="47">
        <v>2</v>
      </c>
      <c r="F31" s="9" t="s">
        <v>78</v>
      </c>
      <c r="G31" s="5" t="str">
        <f>VLOOKUP('[1]Beban Mengajar'!F31,[1]Dosen!A:B,2)</f>
        <v>Lolita</v>
      </c>
      <c r="H31" t="s">
        <v>258</v>
      </c>
    </row>
    <row r="32" spans="1:8" hidden="1" x14ac:dyDescent="0.3">
      <c r="A32" s="5" t="s">
        <v>667</v>
      </c>
      <c r="B32" s="81" t="s">
        <v>226</v>
      </c>
      <c r="C32" s="82" t="s">
        <v>423</v>
      </c>
      <c r="D32" s="5" t="s">
        <v>424</v>
      </c>
      <c r="E32" s="47">
        <v>2</v>
      </c>
      <c r="F32" s="9" t="s">
        <v>78</v>
      </c>
      <c r="G32" s="5" t="str">
        <f>VLOOKUP('[1]Beban Mengajar'!F32,[1]Dosen!A:B,2)</f>
        <v>Lolita</v>
      </c>
      <c r="H32" t="s">
        <v>258</v>
      </c>
    </row>
    <row r="33" spans="1:8" hidden="1" x14ac:dyDescent="0.3">
      <c r="A33" s="5" t="s">
        <v>667</v>
      </c>
      <c r="B33" s="81" t="s">
        <v>219</v>
      </c>
      <c r="C33" s="82" t="s">
        <v>334</v>
      </c>
      <c r="D33" s="5" t="s">
        <v>335</v>
      </c>
      <c r="E33" s="47">
        <v>3</v>
      </c>
      <c r="F33" s="9" t="s">
        <v>107</v>
      </c>
      <c r="G33" s="5" t="str">
        <f>VLOOKUP('[1]Beban Mengajar'!F33,[1]Dosen!A:B,2)</f>
        <v>Lisa Risfana Sari S.Si., M.Si</v>
      </c>
      <c r="H33" t="s">
        <v>938</v>
      </c>
    </row>
    <row r="34" spans="1:8" hidden="1" x14ac:dyDescent="0.3">
      <c r="A34" s="5" t="s">
        <v>667</v>
      </c>
      <c r="B34" s="81" t="s">
        <v>218</v>
      </c>
      <c r="C34" s="82" t="s">
        <v>448</v>
      </c>
      <c r="D34" s="5" t="s">
        <v>698</v>
      </c>
      <c r="E34" s="47">
        <v>3</v>
      </c>
      <c r="F34" s="9" t="s">
        <v>107</v>
      </c>
      <c r="G34" s="5" t="str">
        <f>VLOOKUP('[1]Beban Mengajar'!F34,[1]Dosen!A:B,2)</f>
        <v>Lisa Risfana Sari S.Si., M.Si</v>
      </c>
      <c r="H34" t="s">
        <v>938</v>
      </c>
    </row>
    <row r="35" spans="1:8" hidden="1" x14ac:dyDescent="0.3">
      <c r="A35" s="5" t="s">
        <v>667</v>
      </c>
      <c r="B35" s="81" t="s">
        <v>225</v>
      </c>
      <c r="C35" s="82" t="s">
        <v>434</v>
      </c>
      <c r="D35" s="5" t="s">
        <v>435</v>
      </c>
      <c r="E35" s="2">
        <v>2</v>
      </c>
      <c r="F35" s="9" t="s">
        <v>107</v>
      </c>
      <c r="G35" s="5" t="str">
        <f>VLOOKUP('[1]Beban Mengajar'!F35,[1]Dosen!A:B,2)</f>
        <v>Lisa Risfana Sari S.Si., M.Si</v>
      </c>
      <c r="H35" t="s">
        <v>938</v>
      </c>
    </row>
    <row r="36" spans="1:8" hidden="1" x14ac:dyDescent="0.3">
      <c r="A36" s="5" t="s">
        <v>667</v>
      </c>
      <c r="B36" s="81" t="s">
        <v>226</v>
      </c>
      <c r="C36" s="82" t="s">
        <v>434</v>
      </c>
      <c r="D36" s="5" t="s">
        <v>435</v>
      </c>
      <c r="E36" s="2">
        <v>2</v>
      </c>
      <c r="F36" s="9" t="s">
        <v>107</v>
      </c>
      <c r="G36" s="5" t="str">
        <f>VLOOKUP('[1]Beban Mengajar'!F36,[1]Dosen!A:B,2)</f>
        <v>Lisa Risfana Sari S.Si., M.Si</v>
      </c>
      <c r="H36" t="s">
        <v>938</v>
      </c>
    </row>
    <row r="37" spans="1:8" hidden="1" x14ac:dyDescent="0.3">
      <c r="A37" s="5" t="s">
        <v>667</v>
      </c>
      <c r="B37" s="81" t="s">
        <v>221</v>
      </c>
      <c r="C37" s="82" t="s">
        <v>334</v>
      </c>
      <c r="D37" s="5" t="s">
        <v>335</v>
      </c>
      <c r="E37" s="47">
        <v>3</v>
      </c>
      <c r="F37" s="9" t="s">
        <v>107</v>
      </c>
      <c r="G37" s="5" t="str">
        <f>VLOOKUP('[1]Beban Mengajar'!F37,[1]Dosen!A:B,2)</f>
        <v>Lisa Risfana Sari S.Si., M.Si</v>
      </c>
      <c r="H37" t="s">
        <v>938</v>
      </c>
    </row>
    <row r="38" spans="1:8" hidden="1" x14ac:dyDescent="0.3">
      <c r="A38" s="5" t="s">
        <v>667</v>
      </c>
      <c r="B38" s="81" t="s">
        <v>217</v>
      </c>
      <c r="C38" s="82" t="s">
        <v>448</v>
      </c>
      <c r="D38" s="5" t="s">
        <v>698</v>
      </c>
      <c r="E38" s="47">
        <v>3</v>
      </c>
      <c r="F38" s="9" t="s">
        <v>107</v>
      </c>
      <c r="G38" s="5" t="str">
        <f>VLOOKUP('[1]Beban Mengajar'!F38,[1]Dosen!A:B,2)</f>
        <v>Lisa Risfana Sari S.Si., M.Si</v>
      </c>
      <c r="H38" t="s">
        <v>938</v>
      </c>
    </row>
    <row r="39" spans="1:8" hidden="1" x14ac:dyDescent="0.3">
      <c r="A39" s="5" t="s">
        <v>667</v>
      </c>
      <c r="B39" s="81" t="s">
        <v>218</v>
      </c>
      <c r="C39" s="82" t="s">
        <v>418</v>
      </c>
      <c r="D39" s="5" t="s">
        <v>419</v>
      </c>
      <c r="E39" s="47">
        <v>3</v>
      </c>
      <c r="F39" s="9" t="s">
        <v>109</v>
      </c>
      <c r="G39" s="5" t="str">
        <f>VLOOKUP('[1]Beban Mengajar'!F39,[1]Dosen!A:B,2)</f>
        <v>Muhammad Akbar, S.E., M.Acc., Ak.</v>
      </c>
      <c r="H39" t="s">
        <v>938</v>
      </c>
    </row>
    <row r="40" spans="1:8" hidden="1" x14ac:dyDescent="0.3">
      <c r="A40" s="5" t="s">
        <v>667</v>
      </c>
      <c r="B40" s="81" t="s">
        <v>225</v>
      </c>
      <c r="C40" s="82" t="s">
        <v>699</v>
      </c>
      <c r="D40" s="5" t="s">
        <v>408</v>
      </c>
      <c r="E40" s="47">
        <v>3</v>
      </c>
      <c r="F40" s="9" t="s">
        <v>123</v>
      </c>
      <c r="G40" s="5" t="str">
        <f>VLOOKUP('[1]Beban Mengajar'!F40,[1]Dosen!A:B,2)</f>
        <v>Marisya Mahdia Khoirina, S.M., M.M.</v>
      </c>
      <c r="H40" t="s">
        <v>938</v>
      </c>
    </row>
    <row r="41" spans="1:8" hidden="1" x14ac:dyDescent="0.3">
      <c r="A41" s="5" t="s">
        <v>667</v>
      </c>
      <c r="B41" s="81" t="s">
        <v>220</v>
      </c>
      <c r="C41" s="82" t="s">
        <v>328</v>
      </c>
      <c r="D41" s="5" t="s">
        <v>329</v>
      </c>
      <c r="E41" s="47">
        <v>3</v>
      </c>
      <c r="F41" s="9" t="s">
        <v>123</v>
      </c>
      <c r="G41" s="5" t="str">
        <f>VLOOKUP('[1]Beban Mengajar'!F41,[1]Dosen!A:B,2)</f>
        <v>Marisya Mahdia Khoirina, S.M., M.M.</v>
      </c>
      <c r="H41" t="s">
        <v>938</v>
      </c>
    </row>
    <row r="42" spans="1:8" hidden="1" x14ac:dyDescent="0.3">
      <c r="A42" s="5" t="s">
        <v>667</v>
      </c>
      <c r="B42" s="81" t="s">
        <v>216</v>
      </c>
      <c r="C42" s="82" t="s">
        <v>418</v>
      </c>
      <c r="D42" s="5" t="s">
        <v>419</v>
      </c>
      <c r="E42" s="47">
        <v>3</v>
      </c>
      <c r="F42" s="9" t="s">
        <v>123</v>
      </c>
      <c r="G42" s="5" t="str">
        <f>VLOOKUP('[1]Beban Mengajar'!F42,[1]Dosen!A:B,2)</f>
        <v>Marisya Mahdia Khoirina, S.M., M.M.</v>
      </c>
      <c r="H42" t="s">
        <v>938</v>
      </c>
    </row>
    <row r="43" spans="1:8" hidden="1" x14ac:dyDescent="0.3">
      <c r="A43" s="5" t="s">
        <v>667</v>
      </c>
      <c r="B43" s="81" t="s">
        <v>226</v>
      </c>
      <c r="C43" s="82" t="s">
        <v>447</v>
      </c>
      <c r="D43" s="5" t="s">
        <v>347</v>
      </c>
      <c r="E43" s="2">
        <v>2</v>
      </c>
      <c r="F43" s="9" t="s">
        <v>123</v>
      </c>
      <c r="G43" s="5" t="str">
        <f>VLOOKUP('[1]Beban Mengajar'!F43,[1]Dosen!A:B,2)</f>
        <v>Marisya Mahdia Khoirina, S.M., M.M.</v>
      </c>
      <c r="H43" t="s">
        <v>938</v>
      </c>
    </row>
    <row r="44" spans="1:8" hidden="1" x14ac:dyDescent="0.3">
      <c r="A44" s="5" t="s">
        <v>667</v>
      </c>
      <c r="B44" s="81" t="s">
        <v>227</v>
      </c>
      <c r="C44" s="82" t="s">
        <v>447</v>
      </c>
      <c r="D44" s="5" t="s">
        <v>347</v>
      </c>
      <c r="E44" s="2">
        <v>2</v>
      </c>
      <c r="F44" s="9" t="s">
        <v>123</v>
      </c>
      <c r="G44" s="5" t="str">
        <f>VLOOKUP('[1]Beban Mengajar'!F44,[1]Dosen!A:B,2)</f>
        <v>Marisya Mahdia Khoirina, S.M., M.M.</v>
      </c>
      <c r="H44" t="s">
        <v>938</v>
      </c>
    </row>
    <row r="45" spans="1:8" hidden="1" x14ac:dyDescent="0.3">
      <c r="A45" s="5" t="s">
        <v>667</v>
      </c>
      <c r="B45" s="81" t="s">
        <v>218</v>
      </c>
      <c r="C45" s="82" t="s">
        <v>433</v>
      </c>
      <c r="D45" s="5" t="s">
        <v>409</v>
      </c>
      <c r="E45" s="47">
        <v>3</v>
      </c>
      <c r="F45" s="9" t="s">
        <v>113</v>
      </c>
      <c r="G45" s="5" t="str">
        <f>VLOOKUP('[1]Beban Mengajar'!F45,[1]Dosen!A:B,2)</f>
        <v>Mirza Dwinanda Ilmawan, S.E., M.M.</v>
      </c>
      <c r="H45" t="s">
        <v>938</v>
      </c>
    </row>
    <row r="46" spans="1:8" hidden="1" x14ac:dyDescent="0.3">
      <c r="A46" s="5" t="s">
        <v>667</v>
      </c>
      <c r="B46" s="81" t="s">
        <v>225</v>
      </c>
      <c r="C46" s="82" t="s">
        <v>700</v>
      </c>
      <c r="D46" s="5" t="s">
        <v>442</v>
      </c>
      <c r="E46" s="47">
        <v>3</v>
      </c>
      <c r="F46" s="9" t="s">
        <v>113</v>
      </c>
      <c r="G46" s="5" t="str">
        <f>VLOOKUP('[1]Beban Mengajar'!F46,[1]Dosen!A:B,2)</f>
        <v>Mirza Dwinanda Ilmawan, S.E., M.M.</v>
      </c>
      <c r="H46" t="s">
        <v>938</v>
      </c>
    </row>
    <row r="47" spans="1:8" hidden="1" x14ac:dyDescent="0.3">
      <c r="A47" s="5" t="s">
        <v>667</v>
      </c>
      <c r="B47" s="83" t="s">
        <v>863</v>
      </c>
      <c r="C47" s="82" t="s">
        <v>428</v>
      </c>
      <c r="D47" s="5" t="s">
        <v>429</v>
      </c>
      <c r="E47" s="47">
        <v>3</v>
      </c>
      <c r="F47" s="84" t="s">
        <v>45</v>
      </c>
      <c r="G47" s="5" t="str">
        <f>VLOOKUP('[1]Beban Mengajar'!F47,[1]Dosen!A:B,2)</f>
        <v>Dr. Gatot Kustyadji, S.E., M.Si</v>
      </c>
      <c r="H47" t="s">
        <v>938</v>
      </c>
    </row>
    <row r="48" spans="1:8" hidden="1" x14ac:dyDescent="0.3">
      <c r="A48" s="5" t="s">
        <v>667</v>
      </c>
      <c r="B48" s="83" t="s">
        <v>863</v>
      </c>
      <c r="C48" s="82" t="s">
        <v>436</v>
      </c>
      <c r="D48" s="5" t="s">
        <v>709</v>
      </c>
      <c r="E48" s="47">
        <v>3</v>
      </c>
      <c r="F48" s="84" t="s">
        <v>113</v>
      </c>
      <c r="G48" s="5" t="str">
        <f>VLOOKUP('[1]Beban Mengajar'!F48,[1]Dosen!A:B,2)</f>
        <v>Mirza Dwinanda Ilmawan, S.E., M.M.</v>
      </c>
      <c r="H48" t="s">
        <v>938</v>
      </c>
    </row>
    <row r="49" spans="1:8" hidden="1" x14ac:dyDescent="0.3">
      <c r="A49" s="5" t="s">
        <v>667</v>
      </c>
      <c r="B49" s="81" t="s">
        <v>220</v>
      </c>
      <c r="C49" s="82" t="s">
        <v>420</v>
      </c>
      <c r="D49" s="5" t="s">
        <v>421</v>
      </c>
      <c r="E49" s="2">
        <v>2</v>
      </c>
      <c r="F49" s="9" t="s">
        <v>152</v>
      </c>
      <c r="G49" s="5" t="str">
        <f>VLOOKUP('[1]Beban Mengajar'!F49,[1]Dosen!A:B,2)</f>
        <v>Roostikasari Nugraheni, S.Hum., M.Med.Kom.</v>
      </c>
      <c r="H49" t="s">
        <v>938</v>
      </c>
    </row>
    <row r="50" spans="1:8" hidden="1" x14ac:dyDescent="0.3">
      <c r="A50" s="5" t="s">
        <v>667</v>
      </c>
      <c r="B50" s="81" t="s">
        <v>226</v>
      </c>
      <c r="C50" s="82" t="s">
        <v>700</v>
      </c>
      <c r="D50" s="5" t="s">
        <v>442</v>
      </c>
      <c r="E50" s="47">
        <v>3</v>
      </c>
      <c r="F50" s="9" t="s">
        <v>113</v>
      </c>
      <c r="G50" s="5" t="str">
        <f>VLOOKUP('[1]Beban Mengajar'!F50,[1]Dosen!A:B,2)</f>
        <v>Mirza Dwinanda Ilmawan, S.E., M.M.</v>
      </c>
      <c r="H50" t="s">
        <v>938</v>
      </c>
    </row>
    <row r="51" spans="1:8" hidden="1" x14ac:dyDescent="0.3">
      <c r="A51" s="5" t="s">
        <v>667</v>
      </c>
      <c r="B51" s="81" t="s">
        <v>216</v>
      </c>
      <c r="C51" s="82" t="s">
        <v>444</v>
      </c>
      <c r="D51" s="5" t="s">
        <v>445</v>
      </c>
      <c r="E51" s="47">
        <v>3</v>
      </c>
      <c r="F51" s="9" t="s">
        <v>152</v>
      </c>
      <c r="G51" s="5" t="str">
        <f>VLOOKUP('[1]Beban Mengajar'!F51,[1]Dosen!A:B,2)</f>
        <v>Roostikasari Nugraheni, S.Hum., M.Med.Kom.</v>
      </c>
      <c r="H51" t="s">
        <v>938</v>
      </c>
    </row>
    <row r="52" spans="1:8" hidden="1" x14ac:dyDescent="0.3">
      <c r="A52" s="5" t="s">
        <v>667</v>
      </c>
      <c r="B52" s="81" t="s">
        <v>217</v>
      </c>
      <c r="C52" s="82" t="s">
        <v>444</v>
      </c>
      <c r="D52" s="5" t="s">
        <v>445</v>
      </c>
      <c r="E52" s="47">
        <v>3</v>
      </c>
      <c r="F52" s="9" t="s">
        <v>152</v>
      </c>
      <c r="G52" s="5" t="str">
        <f>VLOOKUP('[1]Beban Mengajar'!F52,[1]Dosen!A:B,2)</f>
        <v>Roostikasari Nugraheni, S.Hum., M.Med.Kom.</v>
      </c>
      <c r="H52" t="s">
        <v>938</v>
      </c>
    </row>
    <row r="53" spans="1:8" hidden="1" x14ac:dyDescent="0.3">
      <c r="A53" s="5" t="s">
        <v>667</v>
      </c>
      <c r="B53" s="83" t="s">
        <v>866</v>
      </c>
      <c r="C53" s="82" t="s">
        <v>422</v>
      </c>
      <c r="D53" s="5" t="s">
        <v>399</v>
      </c>
      <c r="E53" s="47">
        <v>3</v>
      </c>
      <c r="F53" s="9" t="s">
        <v>28</v>
      </c>
      <c r="G53" s="5" t="str">
        <f>VLOOKUP('[1]Beban Mengajar'!F53,[1]Dosen!A:B,2)</f>
        <v>Dr. Ir. Chabib Bahari, S.E., M.M.</v>
      </c>
      <c r="H53" t="s">
        <v>938</v>
      </c>
    </row>
    <row r="54" spans="1:8" hidden="1" x14ac:dyDescent="0.3">
      <c r="A54" s="5" t="s">
        <v>667</v>
      </c>
      <c r="B54" s="83" t="s">
        <v>863</v>
      </c>
      <c r="C54" s="82" t="s">
        <v>422</v>
      </c>
      <c r="D54" s="5" t="s">
        <v>399</v>
      </c>
      <c r="E54" s="47">
        <v>3</v>
      </c>
      <c r="F54" s="84" t="s">
        <v>28</v>
      </c>
      <c r="G54" s="5" t="str">
        <f>VLOOKUP('[1]Beban Mengajar'!F54,[1]Dosen!A:B,2)</f>
        <v>Dr. Ir. Chabib Bahari, S.E., M.M.</v>
      </c>
      <c r="H54" t="s">
        <v>938</v>
      </c>
    </row>
    <row r="55" spans="1:8" hidden="1" x14ac:dyDescent="0.3">
      <c r="A55" s="5" t="s">
        <v>667</v>
      </c>
      <c r="B55" s="81" t="s">
        <v>220</v>
      </c>
      <c r="C55" s="82" t="s">
        <v>440</v>
      </c>
      <c r="D55" s="5" t="s">
        <v>338</v>
      </c>
      <c r="E55" s="47">
        <v>3</v>
      </c>
      <c r="F55" s="9" t="s">
        <v>45</v>
      </c>
      <c r="G55" s="5" t="str">
        <f>VLOOKUP('[1]Beban Mengajar'!F55,[1]Dosen!A:B,2)</f>
        <v>Dr. Gatot Kustyadji, S.E., M.Si</v>
      </c>
      <c r="H55" t="s">
        <v>938</v>
      </c>
    </row>
    <row r="56" spans="1:8" hidden="1" x14ac:dyDescent="0.3">
      <c r="A56" s="5" t="s">
        <v>667</v>
      </c>
      <c r="B56" s="81" t="s">
        <v>216</v>
      </c>
      <c r="C56" s="82" t="s">
        <v>433</v>
      </c>
      <c r="D56" s="5" t="s">
        <v>409</v>
      </c>
      <c r="E56" s="47">
        <v>3</v>
      </c>
      <c r="F56" s="9" t="s">
        <v>45</v>
      </c>
      <c r="G56" s="5" t="str">
        <f>VLOOKUP('[1]Beban Mengajar'!F56,[1]Dosen!A:B,2)</f>
        <v>Dr. Gatot Kustyadji, S.E., M.Si</v>
      </c>
      <c r="H56" t="s">
        <v>938</v>
      </c>
    </row>
    <row r="57" spans="1:8" hidden="1" x14ac:dyDescent="0.3">
      <c r="A57" s="5" t="s">
        <v>667</v>
      </c>
      <c r="B57" s="81" t="s">
        <v>221</v>
      </c>
      <c r="C57" s="82" t="s">
        <v>440</v>
      </c>
      <c r="D57" s="5" t="s">
        <v>338</v>
      </c>
      <c r="E57" s="47">
        <v>3</v>
      </c>
      <c r="F57" s="9" t="s">
        <v>45</v>
      </c>
      <c r="G57" s="5" t="str">
        <f>VLOOKUP('[1]Beban Mengajar'!F57,[1]Dosen!A:B,2)</f>
        <v>Dr. Gatot Kustyadji, S.E., M.Si</v>
      </c>
      <c r="H57" t="s">
        <v>938</v>
      </c>
    </row>
    <row r="58" spans="1:8" hidden="1" x14ac:dyDescent="0.3">
      <c r="A58" s="5" t="s">
        <v>667</v>
      </c>
      <c r="B58" s="81" t="s">
        <v>217</v>
      </c>
      <c r="C58" s="82" t="s">
        <v>433</v>
      </c>
      <c r="D58" s="5" t="s">
        <v>409</v>
      </c>
      <c r="E58" s="47">
        <v>3</v>
      </c>
      <c r="F58" s="9" t="s">
        <v>45</v>
      </c>
      <c r="G58" s="5" t="str">
        <f>VLOOKUP('[1]Beban Mengajar'!F58,[1]Dosen!A:B,2)</f>
        <v>Dr. Gatot Kustyadji, S.E., M.Si</v>
      </c>
      <c r="H58" t="s">
        <v>938</v>
      </c>
    </row>
    <row r="59" spans="1:8" hidden="1" x14ac:dyDescent="0.3">
      <c r="A59" s="5" t="s">
        <v>667</v>
      </c>
      <c r="B59" s="81" t="s">
        <v>226</v>
      </c>
      <c r="C59" s="47" t="s">
        <v>699</v>
      </c>
      <c r="D59" s="5" t="s">
        <v>408</v>
      </c>
      <c r="E59" s="47">
        <v>3</v>
      </c>
      <c r="F59" s="9" t="s">
        <v>56</v>
      </c>
      <c r="G59" s="5" t="str">
        <f>VLOOKUP('[1]Beban Mengajar'!F59,[1]Dosen!A:B,2)</f>
        <v>Johan Samudra</v>
      </c>
      <c r="H59" t="s">
        <v>938</v>
      </c>
    </row>
    <row r="60" spans="1:8" hidden="1" x14ac:dyDescent="0.3">
      <c r="A60" s="5" t="s">
        <v>667</v>
      </c>
      <c r="B60" s="81" t="s">
        <v>227</v>
      </c>
      <c r="C60" s="82" t="s">
        <v>699</v>
      </c>
      <c r="D60" s="5" t="s">
        <v>408</v>
      </c>
      <c r="E60" s="47">
        <v>3</v>
      </c>
      <c r="F60" s="9" t="s">
        <v>56</v>
      </c>
      <c r="G60" s="5" t="str">
        <f>VLOOKUP('[1]Beban Mengajar'!F60,[1]Dosen!A:B,2)</f>
        <v>Johan Samudra</v>
      </c>
      <c r="H60" t="s">
        <v>938</v>
      </c>
    </row>
    <row r="61" spans="1:8" hidden="1" x14ac:dyDescent="0.3">
      <c r="A61" s="5" t="s">
        <v>667</v>
      </c>
      <c r="B61" s="81" t="s">
        <v>223</v>
      </c>
      <c r="C61" s="82" t="s">
        <v>702</v>
      </c>
      <c r="D61" s="5" t="s">
        <v>446</v>
      </c>
      <c r="E61" s="47">
        <v>3</v>
      </c>
      <c r="F61" s="9" t="s">
        <v>174</v>
      </c>
      <c r="G61" s="5" t="str">
        <f>VLOOKUP('[1]Beban Mengajar'!F61,[1]Dosen!A:B,2)</f>
        <v>Prof. Tjiptohadi Sawarjuwono, M.Ec., Ph.D., CPA., CA.</v>
      </c>
      <c r="H61" t="s">
        <v>938</v>
      </c>
    </row>
    <row r="62" spans="1:8" hidden="1" x14ac:dyDescent="0.3">
      <c r="A62" s="5" t="s">
        <v>667</v>
      </c>
      <c r="B62" s="81" t="s">
        <v>218</v>
      </c>
      <c r="C62" s="82" t="s">
        <v>444</v>
      </c>
      <c r="D62" s="5" t="s">
        <v>445</v>
      </c>
      <c r="E62" s="47">
        <v>3</v>
      </c>
      <c r="F62" s="9" t="s">
        <v>154</v>
      </c>
      <c r="G62" s="5" t="str">
        <f>VLOOKUP('[1]Beban Mengajar'!F62,[1]Dosen!A:B,2)</f>
        <v>Rosa Rilantiana, S.E., M.M.</v>
      </c>
      <c r="H62" t="s">
        <v>938</v>
      </c>
    </row>
    <row r="63" spans="1:8" hidden="1" x14ac:dyDescent="0.3">
      <c r="A63" s="5" t="s">
        <v>667</v>
      </c>
      <c r="B63" s="81" t="s">
        <v>225</v>
      </c>
      <c r="C63" s="82" t="s">
        <v>447</v>
      </c>
      <c r="D63" s="5" t="s">
        <v>347</v>
      </c>
      <c r="E63" s="2">
        <v>2</v>
      </c>
      <c r="F63" s="9" t="s">
        <v>154</v>
      </c>
      <c r="G63" s="5" t="str">
        <f>VLOOKUP('[1]Beban Mengajar'!F63,[1]Dosen!A:B,2)</f>
        <v>Rosa Rilantiana, S.E., M.M.</v>
      </c>
      <c r="H63" t="s">
        <v>938</v>
      </c>
    </row>
    <row r="64" spans="1:8" hidden="1" x14ac:dyDescent="0.3">
      <c r="A64" s="5" t="s">
        <v>667</v>
      </c>
      <c r="B64" s="81" t="s">
        <v>222</v>
      </c>
      <c r="C64" s="82" t="s">
        <v>702</v>
      </c>
      <c r="D64" s="5" t="s">
        <v>446</v>
      </c>
      <c r="E64" s="47">
        <v>3</v>
      </c>
      <c r="F64" s="9" t="s">
        <v>154</v>
      </c>
      <c r="G64" s="5" t="str">
        <f>VLOOKUP('[1]Beban Mengajar'!F64,[1]Dosen!A:B,2)</f>
        <v>Rosa Rilantiana, S.E., M.M.</v>
      </c>
      <c r="H64" t="s">
        <v>938</v>
      </c>
    </row>
    <row r="65" spans="1:8" hidden="1" x14ac:dyDescent="0.3">
      <c r="A65" s="5" t="s">
        <v>667</v>
      </c>
      <c r="B65" s="81" t="s">
        <v>224</v>
      </c>
      <c r="C65" s="82" t="s">
        <v>702</v>
      </c>
      <c r="D65" s="5" t="s">
        <v>446</v>
      </c>
      <c r="E65" s="47">
        <v>3</v>
      </c>
      <c r="F65" s="9" t="s">
        <v>154</v>
      </c>
      <c r="G65" s="5" t="str">
        <f>VLOOKUP('[1]Beban Mengajar'!F65,[1]Dosen!A:B,2)</f>
        <v>Rosa Rilantiana, S.E., M.M.</v>
      </c>
      <c r="H65" t="s">
        <v>938</v>
      </c>
    </row>
    <row r="66" spans="1:8" hidden="1" x14ac:dyDescent="0.3">
      <c r="A66" s="5" t="s">
        <v>667</v>
      </c>
      <c r="B66" s="81" t="s">
        <v>216</v>
      </c>
      <c r="C66" s="82" t="s">
        <v>448</v>
      </c>
      <c r="D66" s="5" t="s">
        <v>698</v>
      </c>
      <c r="E66" s="47">
        <v>3</v>
      </c>
      <c r="F66" s="9" t="s">
        <v>166</v>
      </c>
      <c r="G66" s="5" t="str">
        <f>VLOOKUP('[1]Beban Mengajar'!F66,[1]Dosen!A:B,2)</f>
        <v>Sekarsari Utami Wijaya, S.Stat</v>
      </c>
      <c r="H66" t="s">
        <v>938</v>
      </c>
    </row>
    <row r="67" spans="1:8" hidden="1" x14ac:dyDescent="0.3">
      <c r="A67" s="5" t="s">
        <v>667</v>
      </c>
      <c r="B67" s="81" t="s">
        <v>225</v>
      </c>
      <c r="C67" s="82" t="s">
        <v>443</v>
      </c>
      <c r="D67" s="5" t="s">
        <v>701</v>
      </c>
      <c r="E67" s="47">
        <v>3</v>
      </c>
      <c r="F67" s="9" t="s">
        <v>191</v>
      </c>
      <c r="G67" s="5" t="str">
        <f>VLOOKUP('[1]Beban Mengajar'!F67,[1]Dosen!A:B,2)</f>
        <v>Yanuar Trisnowati, S.E., M.M.</v>
      </c>
      <c r="H67" t="s">
        <v>938</v>
      </c>
    </row>
    <row r="68" spans="1:8" hidden="1" x14ac:dyDescent="0.3">
      <c r="A68" s="5" t="s">
        <v>667</v>
      </c>
      <c r="B68" s="81" t="s">
        <v>222</v>
      </c>
      <c r="C68" s="82" t="s">
        <v>430</v>
      </c>
      <c r="D68" s="5" t="s">
        <v>437</v>
      </c>
      <c r="E68" s="47">
        <v>3</v>
      </c>
      <c r="F68" s="9" t="s">
        <v>191</v>
      </c>
      <c r="G68" s="5" t="str">
        <f>VLOOKUP('[1]Beban Mengajar'!F68,[1]Dosen!A:B,2)</f>
        <v>Yanuar Trisnowati, S.E., M.M.</v>
      </c>
      <c r="H68" t="s">
        <v>938</v>
      </c>
    </row>
    <row r="69" spans="1:8" hidden="1" x14ac:dyDescent="0.3">
      <c r="A69" s="5" t="s">
        <v>667</v>
      </c>
      <c r="B69" s="83" t="s">
        <v>863</v>
      </c>
      <c r="C69" s="82" t="s">
        <v>707</v>
      </c>
      <c r="D69" s="5" t="s">
        <v>708</v>
      </c>
      <c r="E69" s="47">
        <v>3</v>
      </c>
      <c r="F69" s="84" t="s">
        <v>160</v>
      </c>
      <c r="G69" s="5" t="str">
        <f>VLOOKUP('[1]Beban Mengajar'!F69,[1]Dosen!A:B,2)</f>
        <v>Sugeng Firdausi, S.E., Ak.,  M.M. MIFP.</v>
      </c>
      <c r="H69" t="s">
        <v>938</v>
      </c>
    </row>
    <row r="70" spans="1:8" hidden="1" x14ac:dyDescent="0.3">
      <c r="A70" s="5" t="s">
        <v>667</v>
      </c>
      <c r="B70" s="83" t="s">
        <v>863</v>
      </c>
      <c r="C70" s="82" t="s">
        <v>957</v>
      </c>
      <c r="D70" s="5" t="s">
        <v>341</v>
      </c>
      <c r="E70" s="47">
        <v>3</v>
      </c>
      <c r="F70" s="9" t="s">
        <v>191</v>
      </c>
      <c r="G70" s="5" t="str">
        <f>VLOOKUP('[1]Beban Mengajar'!F70,[1]Dosen!A:B,2)</f>
        <v>Yanuar Trisnowati, S.E., M.M.</v>
      </c>
      <c r="H70" t="s">
        <v>938</v>
      </c>
    </row>
    <row r="71" spans="1:8" hidden="1" x14ac:dyDescent="0.3">
      <c r="A71" s="5" t="s">
        <v>667</v>
      </c>
      <c r="B71" s="81" t="s">
        <v>226</v>
      </c>
      <c r="C71" s="82" t="s">
        <v>443</v>
      </c>
      <c r="D71" s="5" t="s">
        <v>701</v>
      </c>
      <c r="E71" s="47">
        <v>3</v>
      </c>
      <c r="F71" s="9" t="s">
        <v>191</v>
      </c>
      <c r="G71" s="5" t="str">
        <f>VLOOKUP('[1]Beban Mengajar'!F71,[1]Dosen!A:B,2)</f>
        <v>Yanuar Trisnowati, S.E., M.M.</v>
      </c>
      <c r="H71" t="s">
        <v>938</v>
      </c>
    </row>
    <row r="72" spans="1:8" hidden="1" x14ac:dyDescent="0.3">
      <c r="A72" s="5" t="s">
        <v>667</v>
      </c>
      <c r="B72" s="81" t="s">
        <v>223</v>
      </c>
      <c r="C72" s="82" t="s">
        <v>430</v>
      </c>
      <c r="D72" s="5" t="s">
        <v>437</v>
      </c>
      <c r="E72" s="47">
        <v>3</v>
      </c>
      <c r="F72" s="9" t="s">
        <v>191</v>
      </c>
      <c r="G72" s="5" t="str">
        <f>VLOOKUP('[1]Beban Mengajar'!F72,[1]Dosen!A:B,2)</f>
        <v>Yanuar Trisnowati, S.E., M.M.</v>
      </c>
      <c r="H72" t="s">
        <v>938</v>
      </c>
    </row>
    <row r="73" spans="1:8" hidden="1" x14ac:dyDescent="0.3">
      <c r="A73" s="5" t="s">
        <v>662</v>
      </c>
      <c r="B73" s="58" t="s">
        <v>201</v>
      </c>
      <c r="C73" s="82" t="s">
        <v>328</v>
      </c>
      <c r="D73" s="5" t="s">
        <v>329</v>
      </c>
      <c r="E73" s="9">
        <v>3</v>
      </c>
      <c r="F73" s="9" t="s">
        <v>52</v>
      </c>
      <c r="G73" s="5" t="str">
        <f>VLOOKUP('[1]Beban Mengajar'!F73,[1]Dosen!A:B,2)</f>
        <v>Irni Resmi Apriyanti, S.Ds., M.Ds.</v>
      </c>
      <c r="H73" t="s">
        <v>938</v>
      </c>
    </row>
    <row r="74" spans="1:8" hidden="1" x14ac:dyDescent="0.3">
      <c r="A74" s="5" t="s">
        <v>662</v>
      </c>
      <c r="B74" s="58" t="s">
        <v>201</v>
      </c>
      <c r="C74" s="82" t="s">
        <v>326</v>
      </c>
      <c r="D74" s="5" t="s">
        <v>327</v>
      </c>
      <c r="E74" s="9">
        <v>3</v>
      </c>
      <c r="F74" s="9" t="s">
        <v>40</v>
      </c>
      <c r="G74" s="5" t="str">
        <f>VLOOKUP('[1]Beban Mengajar'!F74,[1]Dosen!A:B,2)</f>
        <v>Elsi Mersilia Hanesti, S.EI., M.SE</v>
      </c>
      <c r="H74" t="s">
        <v>938</v>
      </c>
    </row>
    <row r="75" spans="1:8" hidden="1" x14ac:dyDescent="0.3">
      <c r="A75" s="5" t="s">
        <v>662</v>
      </c>
      <c r="B75" s="58" t="s">
        <v>201</v>
      </c>
      <c r="C75" s="82" t="s">
        <v>309</v>
      </c>
      <c r="D75" s="5" t="s">
        <v>310</v>
      </c>
      <c r="E75" s="9">
        <v>3</v>
      </c>
      <c r="F75" s="9" t="s">
        <v>49</v>
      </c>
      <c r="G75" s="5" t="str">
        <f>VLOOKUP('[1]Beban Mengajar'!F75,[1]Dosen!A:B,2)</f>
        <v>Husnunnida Maharani</v>
      </c>
      <c r="H75" t="s">
        <v>938</v>
      </c>
    </row>
    <row r="76" spans="1:8" hidden="1" x14ac:dyDescent="0.3">
      <c r="A76" s="5" t="s">
        <v>662</v>
      </c>
      <c r="B76" s="58" t="s">
        <v>201</v>
      </c>
      <c r="C76" s="82" t="s">
        <v>334</v>
      </c>
      <c r="D76" s="5" t="s">
        <v>335</v>
      </c>
      <c r="E76" s="9">
        <v>3</v>
      </c>
      <c r="F76" s="9" t="s">
        <v>18</v>
      </c>
      <c r="G76" s="5" t="str">
        <f>VLOOKUP('[1]Beban Mengajar'!F76,[1]Dosen!A:B,2)</f>
        <v>Aditya Narendra Wardhana, S.T., M.SM.</v>
      </c>
      <c r="H76" t="s">
        <v>938</v>
      </c>
    </row>
    <row r="77" spans="1:8" hidden="1" x14ac:dyDescent="0.3">
      <c r="A77" s="5" t="s">
        <v>662</v>
      </c>
      <c r="B77" s="58" t="s">
        <v>201</v>
      </c>
      <c r="C77" s="82" t="s">
        <v>348</v>
      </c>
      <c r="D77" s="5" t="s">
        <v>349</v>
      </c>
      <c r="E77" s="9">
        <v>3</v>
      </c>
      <c r="F77" s="9" t="s">
        <v>117</v>
      </c>
      <c r="G77" s="5" t="str">
        <f>VLOOKUP('[1]Beban Mengajar'!F77,[1]Dosen!A:B,2)</f>
        <v>Mia Fathia, S.Si., M.Sc.Fin</v>
      </c>
      <c r="H77" t="s">
        <v>938</v>
      </c>
    </row>
    <row r="78" spans="1:8" hidden="1" x14ac:dyDescent="0.3">
      <c r="A78" s="5" t="s">
        <v>662</v>
      </c>
      <c r="B78" s="58" t="s">
        <v>201</v>
      </c>
      <c r="C78" s="82" t="s">
        <v>337</v>
      </c>
      <c r="D78" s="5" t="s">
        <v>338</v>
      </c>
      <c r="E78" s="9">
        <v>3</v>
      </c>
      <c r="F78" s="9" t="s">
        <v>154</v>
      </c>
      <c r="G78" s="5" t="str">
        <f>VLOOKUP('[1]Beban Mengajar'!F78,[1]Dosen!A:B,2)</f>
        <v>Rosa Rilantiana, S.E., M.M.</v>
      </c>
      <c r="H78" t="s">
        <v>938</v>
      </c>
    </row>
    <row r="79" spans="1:8" hidden="1" x14ac:dyDescent="0.3">
      <c r="A79" s="5" t="s">
        <v>662</v>
      </c>
      <c r="B79" s="58" t="s">
        <v>199</v>
      </c>
      <c r="C79" s="82" t="s">
        <v>354</v>
      </c>
      <c r="D79" s="5" t="s">
        <v>355</v>
      </c>
      <c r="E79" s="9">
        <v>3</v>
      </c>
      <c r="F79" s="9" t="s">
        <v>160</v>
      </c>
      <c r="G79" s="5" t="str">
        <f>VLOOKUP('[1]Beban Mengajar'!F79,[1]Dosen!A:B,2)</f>
        <v>Sugeng Firdausi, S.E., Ak.,  M.M. MIFP.</v>
      </c>
      <c r="H79" t="s">
        <v>938</v>
      </c>
    </row>
    <row r="80" spans="1:8" hidden="1" x14ac:dyDescent="0.3">
      <c r="A80" s="5" t="s">
        <v>662</v>
      </c>
      <c r="B80" s="58" t="s">
        <v>199</v>
      </c>
      <c r="C80" s="82" t="s">
        <v>332</v>
      </c>
      <c r="D80" s="5" t="s">
        <v>333</v>
      </c>
      <c r="E80" s="9">
        <v>3</v>
      </c>
      <c r="F80" s="9" t="s">
        <v>181</v>
      </c>
      <c r="G80" s="5" t="str">
        <f>VLOOKUP('[1]Beban Mengajar'!F80,[1]Dosen!A:B,2)</f>
        <v>Wahyu Agung Handono, S.E., M.M.</v>
      </c>
      <c r="H80" t="s">
        <v>938</v>
      </c>
    </row>
    <row r="81" spans="1:8" hidden="1" x14ac:dyDescent="0.3">
      <c r="A81" s="5" t="s">
        <v>662</v>
      </c>
      <c r="B81" s="58" t="s">
        <v>199</v>
      </c>
      <c r="C81" s="82" t="s">
        <v>315</v>
      </c>
      <c r="D81" s="5" t="s">
        <v>316</v>
      </c>
      <c r="E81" s="9">
        <v>3</v>
      </c>
      <c r="F81" s="9" t="s">
        <v>12</v>
      </c>
      <c r="G81" s="5" t="str">
        <f>VLOOKUP('[1]Beban Mengajar'!F81,[1]Dosen!A:B,2)</f>
        <v>Alfiana Fitri, SA., MA</v>
      </c>
      <c r="H81" t="s">
        <v>938</v>
      </c>
    </row>
    <row r="82" spans="1:8" hidden="1" x14ac:dyDescent="0.3">
      <c r="A82" s="5" t="s">
        <v>662</v>
      </c>
      <c r="B82" s="58" t="s">
        <v>199</v>
      </c>
      <c r="C82" s="82" t="s">
        <v>317</v>
      </c>
      <c r="D82" s="5" t="s">
        <v>318</v>
      </c>
      <c r="E82" s="9">
        <v>3</v>
      </c>
      <c r="F82" s="9" t="s">
        <v>36</v>
      </c>
      <c r="G82" s="5" t="str">
        <f>VLOOKUP('[1]Beban Mengajar'!F82,[1]Dosen!A:B,2)</f>
        <v>Dr. Erlina Diamastuti, S.E., M.Si., Ak, CA</v>
      </c>
      <c r="H82" t="s">
        <v>938</v>
      </c>
    </row>
    <row r="83" spans="1:8" hidden="1" x14ac:dyDescent="0.3">
      <c r="A83" s="5" t="s">
        <v>662</v>
      </c>
      <c r="B83" s="20" t="s">
        <v>921</v>
      </c>
      <c r="C83" s="82" t="s">
        <v>711</v>
      </c>
      <c r="D83" s="5" t="s">
        <v>321</v>
      </c>
      <c r="E83" s="9">
        <v>2</v>
      </c>
      <c r="F83" s="9" t="s">
        <v>78</v>
      </c>
      <c r="G83" s="5" t="s">
        <v>934</v>
      </c>
      <c r="H83" s="5" t="s">
        <v>955</v>
      </c>
    </row>
    <row r="84" spans="1:8" hidden="1" x14ac:dyDescent="0.3">
      <c r="A84" s="5" t="s">
        <v>662</v>
      </c>
      <c r="B84" s="58" t="s">
        <v>197</v>
      </c>
      <c r="C84" s="82" t="s">
        <v>319</v>
      </c>
      <c r="D84" s="5" t="s">
        <v>320</v>
      </c>
      <c r="E84" s="9">
        <v>3</v>
      </c>
      <c r="F84" s="9" t="s">
        <v>36</v>
      </c>
      <c r="G84" s="5" t="str">
        <f>VLOOKUP('[1]Beban Mengajar'!F84,[1]Dosen!A:B,2)</f>
        <v>Dr. Erlina Diamastuti, S.E., M.Si., Ak, CA</v>
      </c>
      <c r="H84" t="s">
        <v>938</v>
      </c>
    </row>
    <row r="85" spans="1:8" hidden="1" x14ac:dyDescent="0.3">
      <c r="A85" s="5" t="s">
        <v>662</v>
      </c>
      <c r="B85" s="58" t="s">
        <v>197</v>
      </c>
      <c r="C85" s="82" t="s">
        <v>344</v>
      </c>
      <c r="D85" s="5" t="s">
        <v>345</v>
      </c>
      <c r="E85" s="9">
        <v>2</v>
      </c>
      <c r="F85" s="9" t="s">
        <v>60</v>
      </c>
      <c r="G85" s="5" t="str">
        <f>VLOOKUP('[1]Beban Mengajar'!F85,[1]Dosen!A:B,2)</f>
        <v>Kurniasari Novi Hardanti, SE., M.CA</v>
      </c>
      <c r="H85" t="s">
        <v>938</v>
      </c>
    </row>
    <row r="86" spans="1:8" hidden="1" x14ac:dyDescent="0.3">
      <c r="A86" s="5" t="s">
        <v>662</v>
      </c>
      <c r="B86" s="58" t="s">
        <v>197</v>
      </c>
      <c r="C86" s="82" t="s">
        <v>313</v>
      </c>
      <c r="D86" s="5" t="s">
        <v>314</v>
      </c>
      <c r="E86" s="9">
        <v>3</v>
      </c>
      <c r="F86" s="9" t="s">
        <v>12</v>
      </c>
      <c r="G86" s="5" t="str">
        <f>VLOOKUP('[1]Beban Mengajar'!F86,[1]Dosen!A:B,2)</f>
        <v>Alfiana Fitri, SA., MA</v>
      </c>
      <c r="H86" t="s">
        <v>938</v>
      </c>
    </row>
    <row r="87" spans="1:8" hidden="1" x14ac:dyDescent="0.3">
      <c r="A87" s="5" t="s">
        <v>662</v>
      </c>
      <c r="B87" s="58" t="s">
        <v>197</v>
      </c>
      <c r="C87" s="82" t="s">
        <v>342</v>
      </c>
      <c r="D87" s="5" t="s">
        <v>343</v>
      </c>
      <c r="E87" s="9">
        <v>3</v>
      </c>
      <c r="F87" s="9" t="s">
        <v>36</v>
      </c>
      <c r="G87" s="5" t="str">
        <f>VLOOKUP('[1]Beban Mengajar'!F87,[1]Dosen!A:B,2)</f>
        <v>Dr. Erlina Diamastuti, S.E., M.Si., Ak, CA</v>
      </c>
      <c r="H87" t="s">
        <v>938</v>
      </c>
    </row>
    <row r="88" spans="1:8" hidden="1" x14ac:dyDescent="0.3">
      <c r="A88" s="5" t="s">
        <v>662</v>
      </c>
      <c r="B88" s="58" t="s">
        <v>197</v>
      </c>
      <c r="C88" s="82" t="s">
        <v>339</v>
      </c>
      <c r="D88" s="5" t="s">
        <v>340</v>
      </c>
      <c r="E88" s="9">
        <v>3</v>
      </c>
      <c r="F88" s="9" t="s">
        <v>60</v>
      </c>
      <c r="G88" s="5" t="str">
        <f>VLOOKUP('[1]Beban Mengajar'!F88,[1]Dosen!A:B,2)</f>
        <v>Kurniasari Novi Hardanti, SE., M.CA</v>
      </c>
      <c r="H88" t="s">
        <v>938</v>
      </c>
    </row>
    <row r="89" spans="1:8" hidden="1" x14ac:dyDescent="0.3">
      <c r="A89" s="5" t="s">
        <v>662</v>
      </c>
      <c r="B89" s="58" t="s">
        <v>197</v>
      </c>
      <c r="C89" s="82" t="s">
        <v>350</v>
      </c>
      <c r="D89" s="5" t="s">
        <v>351</v>
      </c>
      <c r="E89" s="9">
        <v>3</v>
      </c>
      <c r="F89" s="9" t="s">
        <v>12</v>
      </c>
      <c r="G89" s="5" t="str">
        <f>VLOOKUP('[1]Beban Mengajar'!F89,[1]Dosen!A:B,2)</f>
        <v>Alfiana Fitri, SA., MA</v>
      </c>
      <c r="H89" t="s">
        <v>938</v>
      </c>
    </row>
    <row r="90" spans="1:8" hidden="1" x14ac:dyDescent="0.3">
      <c r="A90" s="5" t="s">
        <v>662</v>
      </c>
      <c r="B90" s="58" t="s">
        <v>646</v>
      </c>
      <c r="C90" s="82" t="s">
        <v>346</v>
      </c>
      <c r="D90" s="5" t="s">
        <v>347</v>
      </c>
      <c r="E90" s="9">
        <v>3</v>
      </c>
      <c r="F90" s="9" t="s">
        <v>109</v>
      </c>
      <c r="G90" s="5" t="str">
        <f>VLOOKUP('[1]Beban Mengajar'!F90,[1]Dosen!A:B,2)</f>
        <v>Muhammad Akbar, S.E., M.Acc., Ak.</v>
      </c>
      <c r="H90" t="s">
        <v>938</v>
      </c>
    </row>
    <row r="91" spans="1:8" hidden="1" x14ac:dyDescent="0.3">
      <c r="A91" s="5" t="s">
        <v>662</v>
      </c>
      <c r="B91" s="58" t="s">
        <v>646</v>
      </c>
      <c r="C91" s="86" t="s">
        <v>712</v>
      </c>
      <c r="D91" s="56" t="s">
        <v>713</v>
      </c>
      <c r="E91" s="9">
        <v>3</v>
      </c>
      <c r="F91" s="9" t="s">
        <v>36</v>
      </c>
      <c r="G91" s="5" t="str">
        <f>VLOOKUP('[1]Beban Mengajar'!F91,[1]Dosen!A:B,2)</f>
        <v>Dr. Erlina Diamastuti, S.E., M.Si., Ak, CA</v>
      </c>
      <c r="H91" t="s">
        <v>938</v>
      </c>
    </row>
    <row r="92" spans="1:8" hidden="1" x14ac:dyDescent="0.3">
      <c r="A92" s="5" t="s">
        <v>662</v>
      </c>
      <c r="B92" s="58" t="s">
        <v>646</v>
      </c>
      <c r="C92" s="86" t="s">
        <v>330</v>
      </c>
      <c r="D92" s="56" t="s">
        <v>331</v>
      </c>
      <c r="E92" s="9">
        <v>3</v>
      </c>
      <c r="F92" s="9" t="s">
        <v>160</v>
      </c>
      <c r="G92" s="5" t="str">
        <f>VLOOKUP('[1]Beban Mengajar'!F92,[1]Dosen!A:B,2)</f>
        <v>Sugeng Firdausi, S.E., Ak.,  M.M. MIFP.</v>
      </c>
      <c r="H92" t="s">
        <v>938</v>
      </c>
    </row>
    <row r="93" spans="1:8" hidden="1" x14ac:dyDescent="0.3">
      <c r="A93" s="5" t="s">
        <v>662</v>
      </c>
      <c r="B93" s="58" t="s">
        <v>646</v>
      </c>
      <c r="C93" s="86" t="s">
        <v>311</v>
      </c>
      <c r="D93" s="56" t="s">
        <v>312</v>
      </c>
      <c r="E93" s="9">
        <v>3</v>
      </c>
      <c r="F93" s="9" t="s">
        <v>49</v>
      </c>
      <c r="G93" s="5" t="str">
        <f>VLOOKUP('[1]Beban Mengajar'!F93,[1]Dosen!A:B,2)</f>
        <v>Husnunnida Maharani</v>
      </c>
      <c r="H93" t="s">
        <v>938</v>
      </c>
    </row>
    <row r="94" spans="1:8" hidden="1" x14ac:dyDescent="0.3">
      <c r="A94" s="5" t="s">
        <v>662</v>
      </c>
      <c r="B94" s="58" t="s">
        <v>202</v>
      </c>
      <c r="C94" s="82" t="s">
        <v>328</v>
      </c>
      <c r="D94" s="5" t="s">
        <v>329</v>
      </c>
      <c r="E94" s="9">
        <v>3</v>
      </c>
      <c r="F94" s="9"/>
      <c r="G94" s="5"/>
      <c r="H94" t="s">
        <v>938</v>
      </c>
    </row>
    <row r="95" spans="1:8" hidden="1" x14ac:dyDescent="0.3">
      <c r="A95" s="5" t="s">
        <v>662</v>
      </c>
      <c r="B95" s="58" t="s">
        <v>202</v>
      </c>
      <c r="C95" s="82" t="s">
        <v>326</v>
      </c>
      <c r="D95" s="5" t="s">
        <v>327</v>
      </c>
      <c r="E95" s="9">
        <v>3</v>
      </c>
      <c r="F95" s="9" t="s">
        <v>40</v>
      </c>
      <c r="G95" s="5" t="str">
        <f>VLOOKUP('[1]Beban Mengajar'!F95,[1]Dosen!A:B,2)</f>
        <v>Elsi Mersilia Hanesti, S.EI., M.SE</v>
      </c>
      <c r="H95" t="s">
        <v>938</v>
      </c>
    </row>
    <row r="96" spans="1:8" hidden="1" x14ac:dyDescent="0.3">
      <c r="A96" s="5" t="s">
        <v>662</v>
      </c>
      <c r="B96" s="58" t="s">
        <v>202</v>
      </c>
      <c r="C96" s="82" t="s">
        <v>309</v>
      </c>
      <c r="D96" s="5" t="s">
        <v>310</v>
      </c>
      <c r="E96" s="9">
        <v>3</v>
      </c>
      <c r="F96" s="9" t="s">
        <v>49</v>
      </c>
      <c r="G96" s="5" t="str">
        <f>VLOOKUP('[1]Beban Mengajar'!F96,[1]Dosen!A:B,2)</f>
        <v>Husnunnida Maharani</v>
      </c>
      <c r="H96" t="s">
        <v>938</v>
      </c>
    </row>
    <row r="97" spans="1:8" hidden="1" x14ac:dyDescent="0.3">
      <c r="A97" s="5" t="s">
        <v>662</v>
      </c>
      <c r="B97" s="58" t="s">
        <v>202</v>
      </c>
      <c r="C97" s="82" t="s">
        <v>334</v>
      </c>
      <c r="D97" s="5" t="s">
        <v>335</v>
      </c>
      <c r="E97" s="9">
        <v>3</v>
      </c>
      <c r="F97" s="9" t="s">
        <v>18</v>
      </c>
      <c r="G97" s="5" t="str">
        <f>VLOOKUP('[1]Beban Mengajar'!F97,[1]Dosen!A:B,2)</f>
        <v>Aditya Narendra Wardhana, S.T., M.SM.</v>
      </c>
      <c r="H97" t="s">
        <v>938</v>
      </c>
    </row>
    <row r="98" spans="1:8" hidden="1" x14ac:dyDescent="0.3">
      <c r="A98" s="5" t="s">
        <v>662</v>
      </c>
      <c r="B98" s="58" t="s">
        <v>202</v>
      </c>
      <c r="C98" s="82" t="s">
        <v>348</v>
      </c>
      <c r="D98" s="5" t="s">
        <v>349</v>
      </c>
      <c r="E98" s="9">
        <v>3</v>
      </c>
      <c r="F98" s="9" t="s">
        <v>117</v>
      </c>
      <c r="G98" s="5" t="str">
        <f>VLOOKUP('[1]Beban Mengajar'!F98,[1]Dosen!A:B,2)</f>
        <v>Mia Fathia, S.Si., M.Sc.Fin</v>
      </c>
      <c r="H98" t="s">
        <v>938</v>
      </c>
    </row>
    <row r="99" spans="1:8" hidden="1" x14ac:dyDescent="0.3">
      <c r="A99" s="5" t="s">
        <v>662</v>
      </c>
      <c r="B99" s="58" t="s">
        <v>202</v>
      </c>
      <c r="C99" s="82" t="s">
        <v>337</v>
      </c>
      <c r="D99" s="5" t="s">
        <v>338</v>
      </c>
      <c r="E99" s="9">
        <v>3</v>
      </c>
      <c r="F99" s="9" t="s">
        <v>109</v>
      </c>
      <c r="G99" s="5" t="str">
        <f>VLOOKUP('[1]Beban Mengajar'!F99,[1]Dosen!A:B,2)</f>
        <v>Muhammad Akbar, S.E., M.Acc., Ak.</v>
      </c>
      <c r="H99" t="s">
        <v>938</v>
      </c>
    </row>
    <row r="100" spans="1:8" hidden="1" x14ac:dyDescent="0.3">
      <c r="A100" s="5" t="s">
        <v>662</v>
      </c>
      <c r="B100" s="58" t="s">
        <v>200</v>
      </c>
      <c r="C100" s="82" t="s">
        <v>354</v>
      </c>
      <c r="D100" s="5" t="s">
        <v>355</v>
      </c>
      <c r="E100" s="9">
        <v>3</v>
      </c>
      <c r="F100" s="9" t="s">
        <v>160</v>
      </c>
      <c r="G100" s="5" t="str">
        <f>VLOOKUP('[1]Beban Mengajar'!F100,[1]Dosen!A:B,2)</f>
        <v>Sugeng Firdausi, S.E., Ak.,  M.M. MIFP.</v>
      </c>
      <c r="H100" t="s">
        <v>938</v>
      </c>
    </row>
    <row r="101" spans="1:8" hidden="1" x14ac:dyDescent="0.3">
      <c r="A101" s="5" t="s">
        <v>662</v>
      </c>
      <c r="B101" s="58" t="s">
        <v>200</v>
      </c>
      <c r="C101" s="82" t="s">
        <v>332</v>
      </c>
      <c r="D101" s="5" t="s">
        <v>333</v>
      </c>
      <c r="E101" s="9">
        <v>3</v>
      </c>
      <c r="F101" s="9" t="s">
        <v>16</v>
      </c>
      <c r="G101" s="5" t="str">
        <f>VLOOKUP('[1]Beban Mengajar'!F101,[1]Dosen!A:B,2)</f>
        <v>Alfina, S.M., M.M.</v>
      </c>
      <c r="H101" t="s">
        <v>938</v>
      </c>
    </row>
    <row r="102" spans="1:8" hidden="1" x14ac:dyDescent="0.3">
      <c r="A102" s="5" t="s">
        <v>662</v>
      </c>
      <c r="B102" s="58" t="s">
        <v>200</v>
      </c>
      <c r="C102" s="82" t="s">
        <v>315</v>
      </c>
      <c r="D102" s="5" t="s">
        <v>316</v>
      </c>
      <c r="E102" s="9">
        <v>3</v>
      </c>
      <c r="F102" s="9" t="s">
        <v>12</v>
      </c>
      <c r="G102" s="5" t="str">
        <f>VLOOKUP('[1]Beban Mengajar'!F102,[1]Dosen!A:B,2)</f>
        <v>Alfiana Fitri, SA., MA</v>
      </c>
      <c r="H102" t="s">
        <v>938</v>
      </c>
    </row>
    <row r="103" spans="1:8" hidden="1" x14ac:dyDescent="0.3">
      <c r="A103" s="5" t="s">
        <v>662</v>
      </c>
      <c r="B103" s="58" t="s">
        <v>200</v>
      </c>
      <c r="C103" s="82" t="s">
        <v>317</v>
      </c>
      <c r="D103" s="5" t="s">
        <v>318</v>
      </c>
      <c r="E103" s="9">
        <v>3</v>
      </c>
      <c r="F103" s="9" t="s">
        <v>109</v>
      </c>
      <c r="G103" s="5" t="str">
        <f>VLOOKUP('[1]Beban Mengajar'!F103,[1]Dosen!A:B,2)</f>
        <v>Muhammad Akbar, S.E., M.Acc., Ak.</v>
      </c>
      <c r="H103" t="s">
        <v>938</v>
      </c>
    </row>
    <row r="104" spans="1:8" hidden="1" x14ac:dyDescent="0.3">
      <c r="A104" s="5" t="s">
        <v>662</v>
      </c>
      <c r="B104" s="58" t="s">
        <v>198</v>
      </c>
      <c r="C104" s="82" t="s">
        <v>319</v>
      </c>
      <c r="D104" s="5" t="s">
        <v>320</v>
      </c>
      <c r="E104" s="9">
        <v>3</v>
      </c>
      <c r="F104" s="9" t="s">
        <v>690</v>
      </c>
      <c r="G104" s="5" t="str">
        <f>VLOOKUP('[1]Beban Mengajar'!F104,[1]Dosen!A:B,2)</f>
        <v>Fitri Ramadhan</v>
      </c>
      <c r="H104" t="s">
        <v>938</v>
      </c>
    </row>
    <row r="105" spans="1:8" hidden="1" x14ac:dyDescent="0.3">
      <c r="A105" s="5" t="s">
        <v>662</v>
      </c>
      <c r="B105" s="58" t="s">
        <v>198</v>
      </c>
      <c r="C105" s="82" t="s">
        <v>344</v>
      </c>
      <c r="D105" s="5" t="s">
        <v>345</v>
      </c>
      <c r="E105" s="9">
        <v>2</v>
      </c>
      <c r="F105" s="9" t="s">
        <v>60</v>
      </c>
      <c r="G105" s="5" t="str">
        <f>VLOOKUP('[1]Beban Mengajar'!F105,[1]Dosen!A:B,2)</f>
        <v>Kurniasari Novi Hardanti, SE., M.CA</v>
      </c>
      <c r="H105" t="s">
        <v>938</v>
      </c>
    </row>
    <row r="106" spans="1:8" hidden="1" x14ac:dyDescent="0.3">
      <c r="A106" s="5" t="s">
        <v>662</v>
      </c>
      <c r="B106" s="58" t="s">
        <v>198</v>
      </c>
      <c r="C106" s="82" t="s">
        <v>313</v>
      </c>
      <c r="D106" s="5" t="s">
        <v>314</v>
      </c>
      <c r="E106" s="9">
        <v>3</v>
      </c>
      <c r="F106" s="9" t="s">
        <v>12</v>
      </c>
      <c r="G106" s="5" t="str">
        <f>VLOOKUP('[1]Beban Mengajar'!F106,[1]Dosen!A:B,2)</f>
        <v>Alfiana Fitri, SA., MA</v>
      </c>
      <c r="H106" t="s">
        <v>938</v>
      </c>
    </row>
    <row r="107" spans="1:8" hidden="1" x14ac:dyDescent="0.3">
      <c r="A107" s="5" t="s">
        <v>662</v>
      </c>
      <c r="B107" s="58" t="s">
        <v>198</v>
      </c>
      <c r="C107" s="82" t="s">
        <v>342</v>
      </c>
      <c r="D107" s="5" t="s">
        <v>343</v>
      </c>
      <c r="E107" s="9">
        <v>3</v>
      </c>
      <c r="F107" s="9" t="s">
        <v>49</v>
      </c>
      <c r="G107" s="5" t="str">
        <f>VLOOKUP('[1]Beban Mengajar'!F107,[1]Dosen!A:B,2)</f>
        <v>Husnunnida Maharani</v>
      </c>
      <c r="H107" t="s">
        <v>938</v>
      </c>
    </row>
    <row r="108" spans="1:8" hidden="1" x14ac:dyDescent="0.3">
      <c r="A108" s="5" t="s">
        <v>662</v>
      </c>
      <c r="B108" s="58" t="s">
        <v>198</v>
      </c>
      <c r="C108" s="82" t="s">
        <v>339</v>
      </c>
      <c r="D108" s="5" t="s">
        <v>340</v>
      </c>
      <c r="E108" s="9">
        <v>3</v>
      </c>
      <c r="F108" s="9" t="s">
        <v>60</v>
      </c>
      <c r="G108" s="5" t="str">
        <f>VLOOKUP('[1]Beban Mengajar'!F108,[1]Dosen!A:B,2)</f>
        <v>Kurniasari Novi Hardanti, SE., M.CA</v>
      </c>
      <c r="H108" t="s">
        <v>938</v>
      </c>
    </row>
    <row r="109" spans="1:8" hidden="1" x14ac:dyDescent="0.3">
      <c r="A109" s="5" t="s">
        <v>662</v>
      </c>
      <c r="B109" s="58" t="s">
        <v>198</v>
      </c>
      <c r="C109" s="82" t="s">
        <v>350</v>
      </c>
      <c r="D109" s="5" t="s">
        <v>351</v>
      </c>
      <c r="E109" s="9">
        <v>3</v>
      </c>
      <c r="F109" s="9" t="s">
        <v>690</v>
      </c>
      <c r="G109" s="5" t="str">
        <f>VLOOKUP('[1]Beban Mengajar'!F109,[1]Dosen!A:B,2)</f>
        <v>Fitri Ramadhan</v>
      </c>
      <c r="H109" t="s">
        <v>938</v>
      </c>
    </row>
    <row r="110" spans="1:8" hidden="1" x14ac:dyDescent="0.3">
      <c r="A110" s="5" t="s">
        <v>662</v>
      </c>
      <c r="B110" s="58" t="s">
        <v>647</v>
      </c>
      <c r="C110" s="82" t="s">
        <v>346</v>
      </c>
      <c r="D110" s="5" t="s">
        <v>347</v>
      </c>
      <c r="E110" s="9">
        <v>3</v>
      </c>
      <c r="F110" s="9" t="s">
        <v>109</v>
      </c>
      <c r="G110" s="5" t="str">
        <f>VLOOKUP('[1]Beban Mengajar'!F110,[1]Dosen!A:B,2)</f>
        <v>Muhammad Akbar, S.E., M.Acc., Ak.</v>
      </c>
      <c r="H110" t="s">
        <v>938</v>
      </c>
    </row>
    <row r="111" spans="1:8" hidden="1" x14ac:dyDescent="0.3">
      <c r="A111" s="5" t="s">
        <v>664</v>
      </c>
      <c r="B111" s="58" t="s">
        <v>207</v>
      </c>
      <c r="C111" s="82" t="s">
        <v>328</v>
      </c>
      <c r="D111" s="5" t="s">
        <v>329</v>
      </c>
      <c r="E111" s="2">
        <v>3</v>
      </c>
      <c r="F111" s="9" t="s">
        <v>181</v>
      </c>
      <c r="G111" s="5" t="str">
        <f>VLOOKUP('[1]Beban Mengajar'!F111,[1]Dosen!A:B,2)</f>
        <v>Wahyu Agung Handono, S.E., M.M.</v>
      </c>
      <c r="H111" t="s">
        <v>938</v>
      </c>
    </row>
    <row r="112" spans="1:8" hidden="1" x14ac:dyDescent="0.3">
      <c r="A112" s="5" t="s">
        <v>664</v>
      </c>
      <c r="B112" s="58" t="s">
        <v>207</v>
      </c>
      <c r="C112" s="82" t="s">
        <v>397</v>
      </c>
      <c r="D112" s="5" t="s">
        <v>398</v>
      </c>
      <c r="E112" s="2">
        <v>2</v>
      </c>
      <c r="F112" s="9" t="s">
        <v>74</v>
      </c>
      <c r="G112" s="5" t="str">
        <f>VLOOKUP('[1]Beban Mengajar'!F112,[1]Dosen!A:B,2)</f>
        <v>M. Fathoni</v>
      </c>
      <c r="H112" t="s">
        <v>938</v>
      </c>
    </row>
    <row r="113" spans="1:8" hidden="1" x14ac:dyDescent="0.3">
      <c r="A113" s="5" t="s">
        <v>664</v>
      </c>
      <c r="B113" s="58" t="s">
        <v>207</v>
      </c>
      <c r="C113" s="82" t="s">
        <v>410</v>
      </c>
      <c r="D113" s="5" t="s">
        <v>411</v>
      </c>
      <c r="E113" s="2">
        <v>3</v>
      </c>
      <c r="F113" s="9" t="s">
        <v>24</v>
      </c>
      <c r="G113" s="5" t="str">
        <f>VLOOKUP('[1]Beban Mengajar'!F113,[1]Dosen!A:B,2)</f>
        <v>Bambang Tutuko, S.E., M.M., CFP</v>
      </c>
      <c r="H113" t="s">
        <v>938</v>
      </c>
    </row>
    <row r="114" spans="1:8" hidden="1" x14ac:dyDescent="0.3">
      <c r="A114" s="5" t="s">
        <v>664</v>
      </c>
      <c r="B114" s="58" t="s">
        <v>207</v>
      </c>
      <c r="C114" s="82" t="s">
        <v>326</v>
      </c>
      <c r="D114" s="5" t="s">
        <v>403</v>
      </c>
      <c r="E114" s="2">
        <v>3</v>
      </c>
      <c r="F114" s="9" t="s">
        <v>40</v>
      </c>
      <c r="G114" s="5" t="str">
        <f>VLOOKUP('[1]Beban Mengajar'!F114,[1]Dosen!A:B,2)</f>
        <v>Elsi Mersilia Hanesti, S.EI., M.SE</v>
      </c>
      <c r="H114" t="s">
        <v>938</v>
      </c>
    </row>
    <row r="115" spans="1:8" hidden="1" x14ac:dyDescent="0.3">
      <c r="A115" s="5" t="s">
        <v>664</v>
      </c>
      <c r="B115" s="58" t="s">
        <v>207</v>
      </c>
      <c r="C115" s="82" t="s">
        <v>401</v>
      </c>
      <c r="D115" s="5" t="s">
        <v>402</v>
      </c>
      <c r="E115" s="2">
        <v>3</v>
      </c>
      <c r="F115" s="9" t="s">
        <v>14</v>
      </c>
      <c r="G115" s="5" t="str">
        <f>VLOOKUP('[1]Beban Mengajar'!F115,[1]Dosen!A:B,2)</f>
        <v>Ahmad Hudaifah, S.E., M.Ec.</v>
      </c>
      <c r="H115" t="s">
        <v>938</v>
      </c>
    </row>
    <row r="116" spans="1:8" hidden="1" x14ac:dyDescent="0.3">
      <c r="A116" s="5" t="s">
        <v>664</v>
      </c>
      <c r="B116" s="58" t="s">
        <v>207</v>
      </c>
      <c r="C116" s="82" t="s">
        <v>394</v>
      </c>
      <c r="D116" s="5" t="s">
        <v>395</v>
      </c>
      <c r="E116" s="2">
        <v>3</v>
      </c>
      <c r="F116" s="9" t="s">
        <v>8</v>
      </c>
      <c r="G116" s="5" t="str">
        <f>VLOOKUP('[1]Beban Mengajar'!F116,[1]Dosen!A:B,2)</f>
        <v>Ahmad Dahlan Malik, B.A.(Hons). M.Ec.</v>
      </c>
      <c r="H116" t="s">
        <v>938</v>
      </c>
    </row>
    <row r="117" spans="1:8" hidden="1" x14ac:dyDescent="0.3">
      <c r="A117" s="5" t="s">
        <v>664</v>
      </c>
      <c r="B117" s="81" t="s">
        <v>206</v>
      </c>
      <c r="C117" s="87" t="s">
        <v>714</v>
      </c>
      <c r="D117" s="5" t="s">
        <v>414</v>
      </c>
      <c r="E117" s="2">
        <v>3</v>
      </c>
      <c r="F117" s="9" t="s">
        <v>117</v>
      </c>
      <c r="G117" s="5" t="str">
        <f>VLOOKUP('[1]Beban Mengajar'!F117,[1]Dosen!A:B,2)</f>
        <v>Mia Fathia, S.Si., M.Sc.Fin</v>
      </c>
      <c r="H117" t="s">
        <v>938</v>
      </c>
    </row>
    <row r="118" spans="1:8" hidden="1" x14ac:dyDescent="0.3">
      <c r="A118" s="5" t="s">
        <v>664</v>
      </c>
      <c r="B118" s="81" t="s">
        <v>206</v>
      </c>
      <c r="C118" s="87" t="s">
        <v>354</v>
      </c>
      <c r="D118" s="5" t="s">
        <v>355</v>
      </c>
      <c r="E118" s="2">
        <v>3</v>
      </c>
      <c r="F118" s="9" t="s">
        <v>690</v>
      </c>
      <c r="G118" s="5" t="str">
        <f>VLOOKUP('[1]Beban Mengajar'!F118,[1]Dosen!A:B,2)</f>
        <v>Fitri Ramadhan</v>
      </c>
      <c r="H118" t="s">
        <v>938</v>
      </c>
    </row>
    <row r="119" spans="1:8" hidden="1" x14ac:dyDescent="0.3">
      <c r="A119" s="5" t="s">
        <v>664</v>
      </c>
      <c r="B119" s="81" t="s">
        <v>206</v>
      </c>
      <c r="C119" s="87" t="s">
        <v>715</v>
      </c>
      <c r="D119" s="5" t="s">
        <v>333</v>
      </c>
      <c r="E119" s="2">
        <v>3</v>
      </c>
      <c r="F119" s="9" t="s">
        <v>40</v>
      </c>
      <c r="G119" s="5" t="str">
        <f>VLOOKUP('[1]Beban Mengajar'!F119,[1]Dosen!A:B,2)</f>
        <v>Elsi Mersilia Hanesti, S.EI., M.SE</v>
      </c>
      <c r="H119" t="s">
        <v>938</v>
      </c>
    </row>
    <row r="120" spans="1:8" hidden="1" x14ac:dyDescent="0.3">
      <c r="A120" s="5" t="s">
        <v>664</v>
      </c>
      <c r="B120" s="81" t="s">
        <v>206</v>
      </c>
      <c r="C120" s="82" t="s">
        <v>716</v>
      </c>
      <c r="D120" s="5" t="s">
        <v>717</v>
      </c>
      <c r="E120" s="2">
        <v>3</v>
      </c>
      <c r="F120" s="9" t="s">
        <v>119</v>
      </c>
      <c r="G120" s="5" t="str">
        <f>VLOOKUP('[1]Beban Mengajar'!F120,[1]Dosen!A:B,2)</f>
        <v>Drs. Muhammad Asyhad, M.Pd.I.</v>
      </c>
      <c r="H120" t="s">
        <v>938</v>
      </c>
    </row>
    <row r="121" spans="1:8" hidden="1" x14ac:dyDescent="0.3">
      <c r="A121" s="5" t="s">
        <v>664</v>
      </c>
      <c r="B121" s="81" t="s">
        <v>206</v>
      </c>
      <c r="C121" s="82" t="s">
        <v>718</v>
      </c>
      <c r="D121" s="5" t="s">
        <v>412</v>
      </c>
      <c r="E121" s="2">
        <v>3</v>
      </c>
      <c r="F121" s="9" t="s">
        <v>24</v>
      </c>
      <c r="G121" s="5" t="str">
        <f>VLOOKUP('[1]Beban Mengajar'!F121,[1]Dosen!A:B,2)</f>
        <v>Bambang Tutuko, S.E., M.M., CFP</v>
      </c>
      <c r="H121" t="s">
        <v>938</v>
      </c>
    </row>
    <row r="122" spans="1:8" hidden="1" x14ac:dyDescent="0.3">
      <c r="A122" s="5" t="s">
        <v>664</v>
      </c>
      <c r="B122" s="81" t="s">
        <v>206</v>
      </c>
      <c r="C122" s="82" t="s">
        <v>719</v>
      </c>
      <c r="D122" s="5" t="s">
        <v>396</v>
      </c>
      <c r="E122" s="2">
        <v>3</v>
      </c>
      <c r="F122" s="9" t="s">
        <v>8</v>
      </c>
      <c r="G122" s="5" t="str">
        <f>VLOOKUP('[1]Beban Mengajar'!F122,[1]Dosen!A:B,2)</f>
        <v>Ahmad Dahlan Malik, B.A.(Hons). M.Ec.</v>
      </c>
      <c r="H122" t="s">
        <v>938</v>
      </c>
    </row>
    <row r="123" spans="1:8" hidden="1" x14ac:dyDescent="0.3">
      <c r="A123" s="5" t="s">
        <v>664</v>
      </c>
      <c r="B123" s="81" t="s">
        <v>206</v>
      </c>
      <c r="C123" s="82" t="s">
        <v>720</v>
      </c>
      <c r="D123" s="5" t="s">
        <v>415</v>
      </c>
      <c r="E123" s="2">
        <v>3</v>
      </c>
      <c r="F123" s="9" t="s">
        <v>74</v>
      </c>
      <c r="G123" s="5" t="str">
        <f>VLOOKUP('[1]Beban Mengajar'!F123,[1]Dosen!A:B,2)</f>
        <v>M. Fathoni</v>
      </c>
      <c r="H123" t="s">
        <v>938</v>
      </c>
    </row>
    <row r="124" spans="1:8" ht="28.8" hidden="1" x14ac:dyDescent="0.3">
      <c r="A124" s="5" t="s">
        <v>664</v>
      </c>
      <c r="B124" s="81" t="s">
        <v>665</v>
      </c>
      <c r="C124" s="87" t="s">
        <v>721</v>
      </c>
      <c r="D124" s="5" t="s">
        <v>722</v>
      </c>
      <c r="E124" s="2">
        <v>3</v>
      </c>
      <c r="F124" s="9" t="s">
        <v>119</v>
      </c>
      <c r="G124" s="5" t="str">
        <f>VLOOKUP('[1]Beban Mengajar'!F124,[1]Dosen!A:B,2)</f>
        <v>Drs. Muhammad Asyhad, M.Pd.I.</v>
      </c>
      <c r="H124" t="s">
        <v>258</v>
      </c>
    </row>
    <row r="125" spans="1:8" hidden="1" x14ac:dyDescent="0.3">
      <c r="A125" s="5" t="s">
        <v>664</v>
      </c>
      <c r="B125" s="81" t="s">
        <v>208</v>
      </c>
      <c r="C125" s="82" t="s">
        <v>723</v>
      </c>
      <c r="D125" s="5" t="s">
        <v>400</v>
      </c>
      <c r="E125" s="2">
        <v>3</v>
      </c>
      <c r="F125" s="9" t="s">
        <v>14</v>
      </c>
      <c r="G125" s="5" t="str">
        <f>VLOOKUP('[1]Beban Mengajar'!F125,[1]Dosen!A:B,2)</f>
        <v>Ahmad Hudaifah, S.E., M.Ec.</v>
      </c>
      <c r="H125" t="s">
        <v>938</v>
      </c>
    </row>
    <row r="126" spans="1:8" hidden="1" x14ac:dyDescent="0.3">
      <c r="A126" s="5" t="s">
        <v>664</v>
      </c>
      <c r="B126" s="81" t="s">
        <v>208</v>
      </c>
      <c r="C126" s="82" t="s">
        <v>724</v>
      </c>
      <c r="D126" s="5" t="s">
        <v>725</v>
      </c>
      <c r="E126" s="2">
        <v>3</v>
      </c>
      <c r="F126" s="9" t="s">
        <v>181</v>
      </c>
      <c r="G126" s="5" t="str">
        <f>VLOOKUP('[1]Beban Mengajar'!F126,[1]Dosen!A:B,2)</f>
        <v>Wahyu Agung Handono, S.E., M.M.</v>
      </c>
      <c r="H126" t="s">
        <v>938</v>
      </c>
    </row>
    <row r="127" spans="1:8" hidden="1" x14ac:dyDescent="0.3">
      <c r="A127" s="5" t="s">
        <v>664</v>
      </c>
      <c r="B127" s="51" t="s">
        <v>665</v>
      </c>
      <c r="C127" s="82" t="s">
        <v>726</v>
      </c>
      <c r="D127" s="5" t="s">
        <v>399</v>
      </c>
      <c r="E127" s="2">
        <v>3</v>
      </c>
      <c r="F127" s="9" t="s">
        <v>28</v>
      </c>
      <c r="G127" s="5" t="str">
        <f>VLOOKUP('[1]Beban Mengajar'!F127,[1]Dosen!A:B,2)</f>
        <v>Dr. Ir. Chabib Bahari, S.E., M.M.</v>
      </c>
      <c r="H127" t="s">
        <v>258</v>
      </c>
    </row>
    <row r="128" spans="1:8" hidden="1" x14ac:dyDescent="0.3">
      <c r="A128" s="5" t="s">
        <v>664</v>
      </c>
      <c r="B128" s="51" t="s">
        <v>665</v>
      </c>
      <c r="C128" s="82" t="s">
        <v>727</v>
      </c>
      <c r="D128" s="20" t="s">
        <v>728</v>
      </c>
      <c r="E128" s="2">
        <v>3</v>
      </c>
      <c r="F128" s="9" t="s">
        <v>24</v>
      </c>
      <c r="G128" s="5" t="str">
        <f>VLOOKUP('[1]Beban Mengajar'!F128,[1]Dosen!A:B,2)</f>
        <v>Bambang Tutuko, S.E., M.M., CFP</v>
      </c>
      <c r="H128" t="s">
        <v>258</v>
      </c>
    </row>
    <row r="129" spans="1:8" hidden="1" x14ac:dyDescent="0.3">
      <c r="A129" s="5" t="s">
        <v>664</v>
      </c>
      <c r="B129" s="51" t="s">
        <v>665</v>
      </c>
      <c r="C129" s="82" t="s">
        <v>729</v>
      </c>
      <c r="D129" s="5" t="s">
        <v>407</v>
      </c>
      <c r="E129" s="2">
        <v>3</v>
      </c>
      <c r="F129" s="9" t="s">
        <v>871</v>
      </c>
      <c r="G129" s="5" t="str">
        <f>VLOOKUP('[1]Beban Mengajar'!F129,[1]Dosen!A:B,2)</f>
        <v>Johan Samudra</v>
      </c>
      <c r="H129" t="s">
        <v>258</v>
      </c>
    </row>
    <row r="130" spans="1:8" hidden="1" x14ac:dyDescent="0.3">
      <c r="A130" s="5" t="s">
        <v>664</v>
      </c>
      <c r="B130" s="81" t="s">
        <v>208</v>
      </c>
      <c r="C130" s="82" t="s">
        <v>730</v>
      </c>
      <c r="D130" s="5" t="s">
        <v>731</v>
      </c>
      <c r="E130" s="2">
        <v>3</v>
      </c>
      <c r="F130" s="9" t="s">
        <v>40</v>
      </c>
      <c r="G130" s="5" t="str">
        <f>VLOOKUP('[1]Beban Mengajar'!F130,[1]Dosen!A:B,2)</f>
        <v>Elsi Mersilia Hanesti, S.EI., M.SE</v>
      </c>
      <c r="H130" t="s">
        <v>938</v>
      </c>
    </row>
    <row r="131" spans="1:8" hidden="1" x14ac:dyDescent="0.3">
      <c r="A131" s="5" t="s">
        <v>664</v>
      </c>
      <c r="B131" s="81" t="s">
        <v>209</v>
      </c>
      <c r="C131" s="82" t="s">
        <v>723</v>
      </c>
      <c r="D131" s="5" t="s">
        <v>400</v>
      </c>
      <c r="E131" s="2">
        <v>3</v>
      </c>
      <c r="F131" s="9" t="s">
        <v>119</v>
      </c>
      <c r="G131" s="5" t="str">
        <f>VLOOKUP('[1]Beban Mengajar'!F133,[1]Dosen!A:B,2)</f>
        <v>Drs. Muhammad Asyhad, M.Pd.I.</v>
      </c>
      <c r="H131" t="s">
        <v>938</v>
      </c>
    </row>
    <row r="132" spans="1:8" hidden="1" x14ac:dyDescent="0.3">
      <c r="A132" s="5" t="s">
        <v>664</v>
      </c>
      <c r="B132" s="81" t="s">
        <v>209</v>
      </c>
      <c r="C132" s="82" t="s">
        <v>724</v>
      </c>
      <c r="D132" s="5" t="s">
        <v>725</v>
      </c>
      <c r="E132" s="2">
        <v>3</v>
      </c>
      <c r="F132" s="9" t="s">
        <v>181</v>
      </c>
      <c r="G132" s="5" t="str">
        <f>VLOOKUP('[1]Beban Mengajar'!F134,[1]Dosen!A:B,2)</f>
        <v>Wahyu Agung Handono, S.E., M.M.</v>
      </c>
      <c r="H132" t="s">
        <v>938</v>
      </c>
    </row>
    <row r="133" spans="1:8" hidden="1" x14ac:dyDescent="0.3">
      <c r="A133" s="5" t="s">
        <v>664</v>
      </c>
      <c r="B133" s="81" t="s">
        <v>209</v>
      </c>
      <c r="C133" s="82" t="s">
        <v>730</v>
      </c>
      <c r="D133" s="5" t="s">
        <v>731</v>
      </c>
      <c r="E133" s="2">
        <v>3</v>
      </c>
      <c r="F133" s="9" t="s">
        <v>8</v>
      </c>
      <c r="G133" s="5" t="str">
        <f>VLOOKUP('[1]Beban Mengajar'!F135,[1]Dosen!A:B,2)</f>
        <v>Ahmad Dahlan Malik, B.A.(Hons). M.Ec.</v>
      </c>
      <c r="H133" t="s">
        <v>938</v>
      </c>
    </row>
    <row r="134" spans="1:8" hidden="1" x14ac:dyDescent="0.3">
      <c r="A134" s="5" t="s">
        <v>669</v>
      </c>
      <c r="B134" s="58" t="s">
        <v>228</v>
      </c>
      <c r="C134" s="88" t="s">
        <v>454</v>
      </c>
      <c r="D134" s="20" t="s">
        <v>733</v>
      </c>
      <c r="E134" s="59">
        <v>3</v>
      </c>
      <c r="F134" s="9" t="s">
        <v>140</v>
      </c>
      <c r="G134" s="5" t="str">
        <f>VLOOKUP('[1]Beban Mengajar'!F136,[1]Dosen!A:B,2)</f>
        <v>Puji Andayani, S.Si., M.Si., M.Sc.</v>
      </c>
      <c r="H134" t="s">
        <v>938</v>
      </c>
    </row>
    <row r="135" spans="1:8" hidden="1" x14ac:dyDescent="0.3">
      <c r="A135" s="5" t="s">
        <v>669</v>
      </c>
      <c r="B135" s="58" t="s">
        <v>228</v>
      </c>
      <c r="C135" s="89" t="s">
        <v>453</v>
      </c>
      <c r="D135" s="20" t="s">
        <v>734</v>
      </c>
      <c r="E135" s="59">
        <v>2</v>
      </c>
      <c r="F135" s="9" t="s">
        <v>34</v>
      </c>
      <c r="G135" s="5" t="str">
        <f>VLOOKUP('[1]Beban Mengajar'!F137,[1]Dosen!A:B,2)</f>
        <v>Elita Fidiya Nugrahani, S.T., M.Eng., M.T.</v>
      </c>
      <c r="H135" t="s">
        <v>938</v>
      </c>
    </row>
    <row r="136" spans="1:8" hidden="1" x14ac:dyDescent="0.3">
      <c r="A136" s="5" t="s">
        <v>669</v>
      </c>
      <c r="B136" s="58" t="s">
        <v>228</v>
      </c>
      <c r="C136" s="89" t="s">
        <v>990</v>
      </c>
      <c r="D136" s="20" t="s">
        <v>991</v>
      </c>
      <c r="E136" s="59">
        <v>3</v>
      </c>
      <c r="F136" s="9" t="s">
        <v>959</v>
      </c>
      <c r="G136" s="104" t="s">
        <v>972</v>
      </c>
      <c r="H136" t="s">
        <v>989</v>
      </c>
    </row>
    <row r="137" spans="1:8" hidden="1" x14ac:dyDescent="0.3">
      <c r="A137" s="5" t="s">
        <v>669</v>
      </c>
      <c r="B137" s="58" t="s">
        <v>228</v>
      </c>
      <c r="C137" s="89" t="s">
        <v>457</v>
      </c>
      <c r="D137" s="20" t="s">
        <v>735</v>
      </c>
      <c r="E137" s="59">
        <v>2</v>
      </c>
      <c r="F137" s="9" t="s">
        <v>38</v>
      </c>
      <c r="G137" s="5" t="str">
        <f>VLOOKUP('[1]Beban Mengajar'!F138,[1]Dosen!A:B,2)</f>
        <v>Eka Lutfi Septiani, S.T., M.T.</v>
      </c>
      <c r="H137" t="s">
        <v>938</v>
      </c>
    </row>
    <row r="138" spans="1:8" hidden="1" x14ac:dyDescent="0.3">
      <c r="A138" s="5" t="s">
        <v>669</v>
      </c>
      <c r="B138" s="58" t="s">
        <v>228</v>
      </c>
      <c r="C138" s="89" t="s">
        <v>992</v>
      </c>
      <c r="D138" s="20" t="s">
        <v>993</v>
      </c>
      <c r="E138" s="59">
        <v>4</v>
      </c>
      <c r="F138" s="9" t="s">
        <v>960</v>
      </c>
      <c r="G138" s="104" t="s">
        <v>973</v>
      </c>
      <c r="H138" t="s">
        <v>989</v>
      </c>
    </row>
    <row r="139" spans="1:8" hidden="1" x14ac:dyDescent="0.3">
      <c r="A139" s="5" t="s">
        <v>669</v>
      </c>
      <c r="B139" s="58" t="s">
        <v>228</v>
      </c>
      <c r="C139" s="90" t="s">
        <v>463</v>
      </c>
      <c r="D139" s="20" t="s">
        <v>736</v>
      </c>
      <c r="E139" s="59">
        <v>3</v>
      </c>
      <c r="F139" s="9" t="s">
        <v>134</v>
      </c>
      <c r="G139" s="5" t="str">
        <f>VLOOKUP('[1]Beban Mengajar'!F139,[1]Dosen!A:B,2)</f>
        <v>Niswatun Faria, S.T., M.Sc</v>
      </c>
      <c r="H139" t="s">
        <v>914</v>
      </c>
    </row>
    <row r="140" spans="1:8" hidden="1" x14ac:dyDescent="0.3">
      <c r="A140" s="5" t="s">
        <v>669</v>
      </c>
      <c r="B140" s="58" t="s">
        <v>228</v>
      </c>
      <c r="C140" s="91" t="s">
        <v>465</v>
      </c>
      <c r="D140" s="20" t="s">
        <v>737</v>
      </c>
      <c r="E140" s="59">
        <v>2</v>
      </c>
      <c r="F140" s="9" t="s">
        <v>34</v>
      </c>
      <c r="G140" s="5" t="str">
        <f>VLOOKUP('[1]Beban Mengajar'!F140,[1]Dosen!A:B,2)</f>
        <v>Elita Fidiya Nugrahani, S.T., M.Eng., M.T.</v>
      </c>
      <c r="H140" t="s">
        <v>914</v>
      </c>
    </row>
    <row r="141" spans="1:8" hidden="1" x14ac:dyDescent="0.3">
      <c r="A141" s="5" t="s">
        <v>669</v>
      </c>
      <c r="B141" s="58" t="s">
        <v>228</v>
      </c>
      <c r="C141" s="91" t="s">
        <v>467</v>
      </c>
      <c r="D141" s="20" t="s">
        <v>738</v>
      </c>
      <c r="E141" s="9">
        <v>2</v>
      </c>
      <c r="F141" s="9" t="s">
        <v>34</v>
      </c>
      <c r="G141" s="5" t="str">
        <f>VLOOKUP('[1]Beban Mengajar'!F141,[1]Dosen!A:B,2)</f>
        <v>Elita Fidiya Nugrahani, S.T., M.Eng., M.T.</v>
      </c>
      <c r="H141" t="s">
        <v>938</v>
      </c>
    </row>
    <row r="142" spans="1:8" hidden="1" x14ac:dyDescent="0.3">
      <c r="A142" s="5" t="s">
        <v>669</v>
      </c>
      <c r="B142" s="81" t="s">
        <v>229</v>
      </c>
      <c r="C142" s="91" t="s">
        <v>462</v>
      </c>
      <c r="D142" s="20" t="s">
        <v>739</v>
      </c>
      <c r="E142" s="59">
        <v>3</v>
      </c>
      <c r="F142" s="9" t="s">
        <v>146</v>
      </c>
      <c r="G142" s="5" t="str">
        <f>VLOOKUP('[1]Beban Mengajar'!F142,[1]Dosen!A:B,2)</f>
        <v>Qurrotin A'yunina Maulida Okta Arifianti, S.T., M.S.</v>
      </c>
      <c r="H142" t="s">
        <v>938</v>
      </c>
    </row>
    <row r="143" spans="1:8" hidden="1" x14ac:dyDescent="0.3">
      <c r="A143" s="5" t="s">
        <v>669</v>
      </c>
      <c r="B143" s="81" t="s">
        <v>229</v>
      </c>
      <c r="C143" s="92" t="s">
        <v>471</v>
      </c>
      <c r="D143" s="20" t="s">
        <v>740</v>
      </c>
      <c r="E143" s="59">
        <v>3</v>
      </c>
      <c r="F143" s="9" t="s">
        <v>10</v>
      </c>
      <c r="G143" s="5" t="str">
        <f>VLOOKUP('[1]Beban Mengajar'!F143,[1]Dosen!A:B,2)</f>
        <v>Andhika Eko Prasetyo, S.T., M.T.</v>
      </c>
      <c r="H143" t="s">
        <v>938</v>
      </c>
    </row>
    <row r="144" spans="1:8" hidden="1" x14ac:dyDescent="0.3">
      <c r="A144" s="5" t="s">
        <v>669</v>
      </c>
      <c r="B144" s="81" t="s">
        <v>229</v>
      </c>
      <c r="C144" s="91" t="s">
        <v>472</v>
      </c>
      <c r="D144" s="20" t="s">
        <v>741</v>
      </c>
      <c r="E144" s="59">
        <v>3</v>
      </c>
      <c r="F144" s="9" t="s">
        <v>146</v>
      </c>
      <c r="G144" s="5" t="str">
        <f>VLOOKUP('[1]Beban Mengajar'!F144,[1]Dosen!A:B,2)</f>
        <v>Qurrotin A'yunina Maulida Okta Arifianti, S.T., M.S.</v>
      </c>
      <c r="H144" t="s">
        <v>938</v>
      </c>
    </row>
    <row r="145" spans="1:8" hidden="1" x14ac:dyDescent="0.3">
      <c r="A145" s="5" t="s">
        <v>669</v>
      </c>
      <c r="B145" s="81" t="s">
        <v>229</v>
      </c>
      <c r="C145" s="89" t="s">
        <v>742</v>
      </c>
      <c r="D145" s="20" t="s">
        <v>743</v>
      </c>
      <c r="E145" s="59">
        <v>3</v>
      </c>
      <c r="F145" s="9" t="s">
        <v>134</v>
      </c>
      <c r="G145" s="5" t="str">
        <f>VLOOKUP('[1]Beban Mengajar'!F145,[1]Dosen!A:B,2)</f>
        <v>Niswatun Faria, S.T., M.Sc</v>
      </c>
      <c r="H145" t="s">
        <v>938</v>
      </c>
    </row>
    <row r="146" spans="1:8" hidden="1" x14ac:dyDescent="0.3">
      <c r="A146" s="5" t="s">
        <v>669</v>
      </c>
      <c r="B146" s="81" t="s">
        <v>229</v>
      </c>
      <c r="C146" s="89" t="s">
        <v>452</v>
      </c>
      <c r="D146" s="20" t="s">
        <v>744</v>
      </c>
      <c r="E146" s="59">
        <v>3</v>
      </c>
      <c r="F146" s="9" t="s">
        <v>134</v>
      </c>
      <c r="G146" s="5" t="str">
        <f>VLOOKUP('[1]Beban Mengajar'!F146,[1]Dosen!A:B,2)</f>
        <v>Niswatun Faria, S.T., M.Sc</v>
      </c>
      <c r="H146" t="s">
        <v>938</v>
      </c>
    </row>
    <row r="147" spans="1:8" hidden="1" x14ac:dyDescent="0.3">
      <c r="A147" s="5" t="s">
        <v>669</v>
      </c>
      <c r="B147" s="81" t="s">
        <v>229</v>
      </c>
      <c r="C147" s="91" t="s">
        <v>466</v>
      </c>
      <c r="D147" s="20" t="s">
        <v>745</v>
      </c>
      <c r="E147" s="9">
        <v>2</v>
      </c>
      <c r="F147" s="9" t="s">
        <v>8</v>
      </c>
      <c r="G147" s="5" t="str">
        <f>VLOOKUP('[1]Beban Mengajar'!F147,[1]Dosen!A:B,2)</f>
        <v>Ahmad Dahlan Malik, B.A.(Hons). M.Ec.</v>
      </c>
      <c r="H147" t="s">
        <v>938</v>
      </c>
    </row>
    <row r="148" spans="1:8" hidden="1" x14ac:dyDescent="0.3">
      <c r="A148" s="5" t="s">
        <v>669</v>
      </c>
      <c r="B148" s="81" t="s">
        <v>230</v>
      </c>
      <c r="C148" s="91" t="s">
        <v>468</v>
      </c>
      <c r="D148" s="20" t="s">
        <v>748</v>
      </c>
      <c r="E148" s="59">
        <v>3</v>
      </c>
      <c r="F148" s="9" t="s">
        <v>146</v>
      </c>
      <c r="G148" s="5" t="str">
        <f>VLOOKUP('[1]Beban Mengajar'!F148,[1]Dosen!A:B,2)</f>
        <v>Qurrotin A'yunina Maulida Okta Arifianti, S.T., M.S.</v>
      </c>
      <c r="H148" t="s">
        <v>938</v>
      </c>
    </row>
    <row r="149" spans="1:8" hidden="1" x14ac:dyDescent="0.3">
      <c r="A149" s="5" t="s">
        <v>669</v>
      </c>
      <c r="B149" s="81" t="s">
        <v>230</v>
      </c>
      <c r="C149" s="92" t="s">
        <v>470</v>
      </c>
      <c r="D149" s="20" t="s">
        <v>749</v>
      </c>
      <c r="E149" s="59">
        <v>3</v>
      </c>
      <c r="F149" s="9" t="s">
        <v>34</v>
      </c>
      <c r="G149" s="5" t="str">
        <f>VLOOKUP('[1]Beban Mengajar'!F149,[1]Dosen!A:B,2)</f>
        <v>Elita Fidiya Nugrahani, S.T., M.Eng., M.T.</v>
      </c>
      <c r="H149" t="s">
        <v>938</v>
      </c>
    </row>
    <row r="150" spans="1:8" hidden="1" x14ac:dyDescent="0.3">
      <c r="A150" s="5" t="s">
        <v>669</v>
      </c>
      <c r="B150" s="81" t="s">
        <v>230</v>
      </c>
      <c r="C150" s="91" t="s">
        <v>450</v>
      </c>
      <c r="D150" s="20" t="s">
        <v>750</v>
      </c>
      <c r="E150" s="59">
        <v>3</v>
      </c>
      <c r="F150" s="9" t="s">
        <v>58</v>
      </c>
      <c r="G150" s="5" t="str">
        <f>VLOOKUP('[1]Beban Mengajar'!F150,[1]Dosen!A:B,2)</f>
        <v>Kuntum Khoiro Ummatin, S.T., M.T.</v>
      </c>
      <c r="H150" t="s">
        <v>938</v>
      </c>
    </row>
    <row r="151" spans="1:8" hidden="1" x14ac:dyDescent="0.3">
      <c r="A151" s="5" t="s">
        <v>669</v>
      </c>
      <c r="B151" s="81" t="s">
        <v>230</v>
      </c>
      <c r="C151" s="89" t="s">
        <v>461</v>
      </c>
      <c r="D151" s="20" t="s">
        <v>751</v>
      </c>
      <c r="E151" s="59">
        <v>3</v>
      </c>
      <c r="F151" s="9" t="s">
        <v>58</v>
      </c>
      <c r="G151" s="5" t="str">
        <f>VLOOKUP('[1]Beban Mengajar'!F151,[1]Dosen!A:B,2)</f>
        <v>Kuntum Khoiro Ummatin, S.T., M.T.</v>
      </c>
      <c r="H151" t="s">
        <v>938</v>
      </c>
    </row>
    <row r="152" spans="1:8" hidden="1" x14ac:dyDescent="0.3">
      <c r="A152" s="5" t="s">
        <v>669</v>
      </c>
      <c r="B152" s="81" t="s">
        <v>230</v>
      </c>
      <c r="C152" s="91" t="s">
        <v>459</v>
      </c>
      <c r="D152" s="20" t="s">
        <v>752</v>
      </c>
      <c r="E152" s="9">
        <v>2</v>
      </c>
      <c r="F152" s="9" t="s">
        <v>54</v>
      </c>
      <c r="G152" s="5" t="str">
        <f>VLOOKUP('[1]Beban Mengajar'!F152,[1]Dosen!A:B,2)</f>
        <v>Izzati Winda Murti, S.T., M.T.</v>
      </c>
      <c r="H152" t="s">
        <v>938</v>
      </c>
    </row>
    <row r="153" spans="1:8" hidden="1" x14ac:dyDescent="0.3">
      <c r="A153" s="5" t="s">
        <v>669</v>
      </c>
      <c r="B153" s="81" t="s">
        <v>230</v>
      </c>
      <c r="C153" s="91" t="s">
        <v>469</v>
      </c>
      <c r="D153" s="20" t="s">
        <v>753</v>
      </c>
      <c r="E153" s="59">
        <v>3</v>
      </c>
      <c r="F153" s="9" t="s">
        <v>10</v>
      </c>
      <c r="G153" s="5" t="str">
        <f>VLOOKUP('[1]Beban Mengajar'!F153,[1]Dosen!A:B,2)</f>
        <v>Andhika Eko Prasetyo, S.T., M.T.</v>
      </c>
      <c r="H153" t="s">
        <v>938</v>
      </c>
    </row>
    <row r="154" spans="1:8" hidden="1" x14ac:dyDescent="0.3">
      <c r="A154" s="5" t="s">
        <v>669</v>
      </c>
      <c r="B154" s="81" t="s">
        <v>232</v>
      </c>
      <c r="C154" s="92" t="s">
        <v>464</v>
      </c>
      <c r="D154" s="20" t="s">
        <v>754</v>
      </c>
      <c r="E154" s="59">
        <v>3</v>
      </c>
      <c r="F154" s="9" t="s">
        <v>10</v>
      </c>
      <c r="G154" s="5" t="str">
        <f>VLOOKUP('[1]Beban Mengajar'!F154,[1]Dosen!A:B,2)</f>
        <v>Andhika Eko Prasetyo, S.T., M.T.</v>
      </c>
      <c r="H154" t="s">
        <v>938</v>
      </c>
    </row>
    <row r="155" spans="1:8" hidden="1" x14ac:dyDescent="0.3">
      <c r="A155" s="5" t="s">
        <v>669</v>
      </c>
      <c r="B155" s="81" t="s">
        <v>232</v>
      </c>
      <c r="C155" s="92" t="s">
        <v>449</v>
      </c>
      <c r="D155" s="20" t="s">
        <v>755</v>
      </c>
      <c r="E155" s="59">
        <v>3</v>
      </c>
      <c r="F155" s="9" t="s">
        <v>58</v>
      </c>
      <c r="G155" s="5" t="str">
        <f>VLOOKUP('[1]Beban Mengajar'!F155,[1]Dosen!A:B,2)</f>
        <v>Kuntum Khoiro Ummatin, S.T., M.T.</v>
      </c>
      <c r="H155" t="s">
        <v>938</v>
      </c>
    </row>
    <row r="156" spans="1:8" hidden="1" x14ac:dyDescent="0.3">
      <c r="A156" s="5" t="s">
        <v>669</v>
      </c>
      <c r="B156" s="81" t="s">
        <v>232</v>
      </c>
      <c r="C156" s="92" t="s">
        <v>456</v>
      </c>
      <c r="D156" s="20" t="s">
        <v>756</v>
      </c>
      <c r="E156" s="59">
        <v>3</v>
      </c>
      <c r="F156" s="9" t="s">
        <v>34</v>
      </c>
      <c r="G156" s="5" t="str">
        <f>VLOOKUP('[1]Beban Mengajar'!F156,[1]Dosen!A:B,2)</f>
        <v>Elita Fidiya Nugrahani, S.T., M.Eng., M.T.</v>
      </c>
      <c r="H156" t="s">
        <v>938</v>
      </c>
    </row>
    <row r="157" spans="1:8" hidden="1" x14ac:dyDescent="0.3">
      <c r="A157" s="5" t="s">
        <v>669</v>
      </c>
      <c r="B157" s="81" t="s">
        <v>232</v>
      </c>
      <c r="C157" s="101" t="s">
        <v>956</v>
      </c>
      <c r="D157" s="20" t="s">
        <v>757</v>
      </c>
      <c r="E157" s="59">
        <v>3</v>
      </c>
      <c r="F157" s="9" t="s">
        <v>54</v>
      </c>
      <c r="G157" s="5" t="str">
        <f>VLOOKUP('[1]Beban Mengajar'!F157,[1]Dosen!A:B,2)</f>
        <v>Izzati Winda Murti, S.T., M.T.</v>
      </c>
      <c r="H157" t="s">
        <v>938</v>
      </c>
    </row>
    <row r="158" spans="1:8" hidden="1" x14ac:dyDescent="0.3">
      <c r="A158" s="5" t="s">
        <v>669</v>
      </c>
      <c r="B158" s="81" t="s">
        <v>232</v>
      </c>
      <c r="C158" s="92"/>
      <c r="D158" s="58" t="s">
        <v>758</v>
      </c>
      <c r="E158" s="59">
        <v>3</v>
      </c>
      <c r="F158" s="9" t="s">
        <v>134</v>
      </c>
      <c r="G158" s="5" t="str">
        <f>VLOOKUP('[1]Beban Mengajar'!F158,[1]Dosen!A:B,2)</f>
        <v>Niswatun Faria, S.T., M.Sc</v>
      </c>
      <c r="H158" t="s">
        <v>938</v>
      </c>
    </row>
    <row r="159" spans="1:8" hidden="1" x14ac:dyDescent="0.3">
      <c r="A159" s="5" t="s">
        <v>669</v>
      </c>
      <c r="B159" s="81" t="s">
        <v>232</v>
      </c>
      <c r="C159" s="92"/>
      <c r="D159" s="20" t="s">
        <v>759</v>
      </c>
      <c r="E159" s="59">
        <v>3</v>
      </c>
      <c r="F159" s="9" t="s">
        <v>146</v>
      </c>
      <c r="G159" s="5" t="str">
        <f>VLOOKUP('[1]Beban Mengajar'!F159,[1]Dosen!A:B,2)</f>
        <v>Qurrotin A'yunina Maulida Okta Arifianti, S.T., M.S.</v>
      </c>
      <c r="H159" t="s">
        <v>938</v>
      </c>
    </row>
    <row r="160" spans="1:8" hidden="1" x14ac:dyDescent="0.3">
      <c r="A160" s="5" t="s">
        <v>669</v>
      </c>
      <c r="B160" s="81" t="s">
        <v>231</v>
      </c>
      <c r="C160" s="91" t="s">
        <v>468</v>
      </c>
      <c r="D160" s="20" t="s">
        <v>748</v>
      </c>
      <c r="E160" s="59">
        <v>3</v>
      </c>
      <c r="F160" s="9" t="s">
        <v>146</v>
      </c>
      <c r="G160" s="5" t="str">
        <f>VLOOKUP('[1]Beban Mengajar'!F160,[1]Dosen!A:B,2)</f>
        <v>Qurrotin A'yunina Maulida Okta Arifianti, S.T., M.S.</v>
      </c>
      <c r="H160" t="s">
        <v>938</v>
      </c>
    </row>
    <row r="161" spans="1:8" hidden="1" x14ac:dyDescent="0.3">
      <c r="A161" s="5" t="s">
        <v>683</v>
      </c>
      <c r="B161" s="58" t="s">
        <v>243</v>
      </c>
      <c r="C161" s="93" t="s">
        <v>585</v>
      </c>
      <c r="D161" s="44" t="s">
        <v>586</v>
      </c>
      <c r="E161" s="43">
        <v>3</v>
      </c>
      <c r="F161" s="9" t="s">
        <v>136</v>
      </c>
      <c r="G161" s="5" t="str">
        <f>VLOOKUP('[1]Beban Mengajar'!F161,[1]Dosen!A:B,2)</f>
        <v>Oki Anita Candra Dewi, S.T., M.T.</v>
      </c>
      <c r="H161" t="s">
        <v>938</v>
      </c>
    </row>
    <row r="162" spans="1:8" hidden="1" x14ac:dyDescent="0.3">
      <c r="A162" s="5" t="s">
        <v>683</v>
      </c>
      <c r="B162" s="58" t="s">
        <v>243</v>
      </c>
      <c r="C162" s="93" t="s">
        <v>760</v>
      </c>
      <c r="D162" s="44" t="s">
        <v>761</v>
      </c>
      <c r="E162" s="43" t="s">
        <v>873</v>
      </c>
      <c r="F162" s="9" t="s">
        <v>125</v>
      </c>
      <c r="G162" s="5" t="str">
        <f>VLOOKUP('[1]Beban Mengajar'!F162,[1]Dosen!A:B,2)</f>
        <v>Maulin Masyito Putri, S.T., M.T</v>
      </c>
      <c r="H162" t="s">
        <v>914</v>
      </c>
    </row>
    <row r="163" spans="1:8" hidden="1" x14ac:dyDescent="0.3">
      <c r="A163" s="5" t="s">
        <v>683</v>
      </c>
      <c r="B163" s="58" t="s">
        <v>243</v>
      </c>
      <c r="C163" s="93" t="s">
        <v>760</v>
      </c>
      <c r="D163" s="44" t="s">
        <v>761</v>
      </c>
      <c r="E163" s="43" t="s">
        <v>873</v>
      </c>
      <c r="F163" s="9" t="s">
        <v>136</v>
      </c>
      <c r="G163" s="5" t="str">
        <f>VLOOKUP('[1]Beban Mengajar'!F163,[1]Dosen!A:B,2)</f>
        <v>Oki Anita Candra Dewi, S.T., M.T.</v>
      </c>
      <c r="H163" t="s">
        <v>914</v>
      </c>
    </row>
    <row r="164" spans="1:8" hidden="1" x14ac:dyDescent="0.3">
      <c r="A164" s="5" t="s">
        <v>683</v>
      </c>
      <c r="B164" s="58" t="s">
        <v>243</v>
      </c>
      <c r="C164" s="93" t="s">
        <v>762</v>
      </c>
      <c r="D164" s="44" t="s">
        <v>535</v>
      </c>
      <c r="E164" s="43">
        <v>2</v>
      </c>
      <c r="F164" s="9" t="s">
        <v>134</v>
      </c>
      <c r="G164" s="5" t="str">
        <f>VLOOKUP('[1]Beban Mengajar'!F164,[1]Dosen!A:B,2)</f>
        <v>Niswatun Faria, S.T., M.Sc</v>
      </c>
      <c r="H164" t="s">
        <v>914</v>
      </c>
    </row>
    <row r="165" spans="1:8" hidden="1" x14ac:dyDescent="0.3">
      <c r="A165" s="5" t="s">
        <v>683</v>
      </c>
      <c r="B165" s="58" t="s">
        <v>243</v>
      </c>
      <c r="C165" s="93" t="s">
        <v>571</v>
      </c>
      <c r="D165" s="44" t="s">
        <v>536</v>
      </c>
      <c r="E165" s="43">
        <v>3</v>
      </c>
      <c r="F165" s="9" t="s">
        <v>131</v>
      </c>
      <c r="G165" s="5" t="str">
        <f>VLOOKUP('[1]Beban Mengajar'!F165,[1]Dosen!A:B,2)</f>
        <v>Ngatini</v>
      </c>
      <c r="H165" t="s">
        <v>938</v>
      </c>
    </row>
    <row r="166" spans="1:8" hidden="1" x14ac:dyDescent="0.3">
      <c r="A166" s="5" t="s">
        <v>683</v>
      </c>
      <c r="B166" s="58" t="s">
        <v>243</v>
      </c>
      <c r="C166" s="93" t="s">
        <v>763</v>
      </c>
      <c r="D166" s="44" t="s">
        <v>567</v>
      </c>
      <c r="E166" s="43" t="s">
        <v>880</v>
      </c>
      <c r="F166" s="9" t="s">
        <v>41</v>
      </c>
      <c r="G166" s="5" t="str">
        <f>VLOOKUP('[1]Beban Mengajar'!F166,[1]Dosen!A:B,2)</f>
        <v>Fandi Angga Prasetya, S.Si., M.Si</v>
      </c>
      <c r="H166" t="s">
        <v>938</v>
      </c>
    </row>
    <row r="167" spans="1:8" hidden="1" x14ac:dyDescent="0.3">
      <c r="A167" s="5" t="s">
        <v>683</v>
      </c>
      <c r="B167" s="58" t="s">
        <v>243</v>
      </c>
      <c r="C167" s="93" t="s">
        <v>994</v>
      </c>
      <c r="D167" s="44" t="s">
        <v>991</v>
      </c>
      <c r="E167" s="43" t="s">
        <v>995</v>
      </c>
      <c r="F167" s="9" t="s">
        <v>961</v>
      </c>
      <c r="G167" s="104" t="s">
        <v>974</v>
      </c>
      <c r="H167" t="s">
        <v>989</v>
      </c>
    </row>
    <row r="168" spans="1:8" hidden="1" x14ac:dyDescent="0.3">
      <c r="A168" s="5" t="s">
        <v>683</v>
      </c>
      <c r="B168" s="58" t="s">
        <v>243</v>
      </c>
      <c r="C168" s="93" t="s">
        <v>764</v>
      </c>
      <c r="D168" s="44" t="s">
        <v>458</v>
      </c>
      <c r="E168" s="43" t="s">
        <v>880</v>
      </c>
      <c r="F168" s="9" t="s">
        <v>189</v>
      </c>
      <c r="G168" s="5" t="str">
        <f>VLOOKUP('[1]Beban Mengajar'!F167,[1]Dosen!A:B,2)</f>
        <v>Yuni Kurniati, S.T., M.T.</v>
      </c>
      <c r="H168" t="s">
        <v>938</v>
      </c>
    </row>
    <row r="169" spans="1:8" hidden="1" x14ac:dyDescent="0.3">
      <c r="A169" s="5" t="s">
        <v>683</v>
      </c>
      <c r="B169" s="81" t="s">
        <v>245</v>
      </c>
      <c r="C169" s="93" t="s">
        <v>765</v>
      </c>
      <c r="D169" s="44" t="s">
        <v>573</v>
      </c>
      <c r="E169" s="43">
        <v>2</v>
      </c>
      <c r="F169" s="9" t="s">
        <v>115</v>
      </c>
      <c r="G169" s="5" t="str">
        <f>VLOOKUP('[1]Beban Mengajar'!F168,[1]Dosen!A:B,2)</f>
        <v>Muhammad Faisal Ibrahim, S.T., M.T.</v>
      </c>
      <c r="H169" t="s">
        <v>938</v>
      </c>
    </row>
    <row r="170" spans="1:8" hidden="1" x14ac:dyDescent="0.3">
      <c r="A170" s="5" t="s">
        <v>683</v>
      </c>
      <c r="B170" s="81" t="s">
        <v>245</v>
      </c>
      <c r="C170" s="93" t="s">
        <v>766</v>
      </c>
      <c r="D170" s="44" t="s">
        <v>767</v>
      </c>
      <c r="E170" s="43">
        <v>3</v>
      </c>
      <c r="F170" s="9" t="s">
        <v>166</v>
      </c>
      <c r="G170" s="5" t="str">
        <f>VLOOKUP('[1]Beban Mengajar'!F169,[1]Dosen!A:B,2)</f>
        <v>Sekarsari Utami Wijaya, S.Stat</v>
      </c>
      <c r="H170" t="s">
        <v>938</v>
      </c>
    </row>
    <row r="171" spans="1:8" hidden="1" x14ac:dyDescent="0.3">
      <c r="A171" s="5" t="s">
        <v>683</v>
      </c>
      <c r="B171" s="81" t="s">
        <v>245</v>
      </c>
      <c r="C171" s="93" t="s">
        <v>768</v>
      </c>
      <c r="D171" s="44" t="s">
        <v>769</v>
      </c>
      <c r="E171" s="43">
        <v>3</v>
      </c>
      <c r="F171" s="9" t="s">
        <v>164</v>
      </c>
      <c r="G171" s="5" t="str">
        <f>VLOOKUP('[1]Beban Mengajar'!F170,[1]Dosen!A:B,2)</f>
        <v>Siti Nurminarsih, S.T., M.T.</v>
      </c>
      <c r="H171" t="s">
        <v>938</v>
      </c>
    </row>
    <row r="172" spans="1:8" hidden="1" x14ac:dyDescent="0.3">
      <c r="A172" s="5" t="s">
        <v>683</v>
      </c>
      <c r="B172" s="81" t="s">
        <v>245</v>
      </c>
      <c r="C172" s="93" t="s">
        <v>770</v>
      </c>
      <c r="D172" s="44" t="s">
        <v>581</v>
      </c>
      <c r="E172" s="43">
        <v>3</v>
      </c>
      <c r="F172" s="9" t="s">
        <v>166</v>
      </c>
      <c r="G172" s="5" t="str">
        <f>VLOOKUP('[1]Beban Mengajar'!F171,[1]Dosen!A:B,2)</f>
        <v>Sekarsari Utami Wijaya, S.Stat</v>
      </c>
      <c r="H172" t="s">
        <v>938</v>
      </c>
    </row>
    <row r="173" spans="1:8" hidden="1" x14ac:dyDescent="0.3">
      <c r="A173" s="5" t="s">
        <v>683</v>
      </c>
      <c r="B173" s="81" t="s">
        <v>245</v>
      </c>
      <c r="C173" s="93" t="s">
        <v>595</v>
      </c>
      <c r="D173" s="44" t="s">
        <v>596</v>
      </c>
      <c r="E173" s="43" t="s">
        <v>879</v>
      </c>
      <c r="F173" s="9" t="s">
        <v>166</v>
      </c>
      <c r="G173" s="5" t="str">
        <f>VLOOKUP('[1]Beban Mengajar'!F172,[1]Dosen!A:B,2)</f>
        <v>Sekarsari Utami Wijaya, S.Stat</v>
      </c>
      <c r="H173" t="s">
        <v>938</v>
      </c>
    </row>
    <row r="174" spans="1:8" hidden="1" x14ac:dyDescent="0.3">
      <c r="A174" s="5" t="s">
        <v>683</v>
      </c>
      <c r="B174" s="81" t="s">
        <v>245</v>
      </c>
      <c r="C174" s="93" t="s">
        <v>771</v>
      </c>
      <c r="D174" s="44" t="s">
        <v>600</v>
      </c>
      <c r="E174" s="43" t="s">
        <v>879</v>
      </c>
      <c r="F174" s="9" t="s">
        <v>125</v>
      </c>
      <c r="G174" s="5" t="str">
        <f>VLOOKUP('[1]Beban Mengajar'!F173,[1]Dosen!A:B,2)</f>
        <v>Maulin Masyito Putri, S.T., M.T</v>
      </c>
      <c r="H174" t="s">
        <v>938</v>
      </c>
    </row>
    <row r="175" spans="1:8" hidden="1" x14ac:dyDescent="0.3">
      <c r="A175" s="5" t="s">
        <v>683</v>
      </c>
      <c r="B175" s="81" t="s">
        <v>247</v>
      </c>
      <c r="C175" s="93" t="s">
        <v>589</v>
      </c>
      <c r="D175" s="44" t="s">
        <v>590</v>
      </c>
      <c r="E175" s="43">
        <v>4</v>
      </c>
      <c r="F175" s="9" t="s">
        <v>125</v>
      </c>
      <c r="G175" s="5" t="str">
        <f>VLOOKUP('[1]Beban Mengajar'!F174,[1]Dosen!A:B,2)</f>
        <v>Maulin Masyito Putri, S.T., M.T</v>
      </c>
      <c r="H175" t="s">
        <v>938</v>
      </c>
    </row>
    <row r="176" spans="1:8" hidden="1" x14ac:dyDescent="0.3">
      <c r="A176" s="5" t="s">
        <v>683</v>
      </c>
      <c r="B176" s="81" t="s">
        <v>247</v>
      </c>
      <c r="C176" s="93" t="s">
        <v>577</v>
      </c>
      <c r="D176" s="44" t="s">
        <v>772</v>
      </c>
      <c r="E176" s="43">
        <v>2</v>
      </c>
      <c r="F176" s="9" t="s">
        <v>123</v>
      </c>
      <c r="G176" s="5" t="str">
        <f>VLOOKUP('[1]Beban Mengajar'!F175,[1]Dosen!A:B,2)</f>
        <v>Marisya Mahdia Khoirina, S.M., M.M.</v>
      </c>
      <c r="H176" t="s">
        <v>938</v>
      </c>
    </row>
    <row r="177" spans="1:8" hidden="1" x14ac:dyDescent="0.3">
      <c r="A177" s="5" t="s">
        <v>683</v>
      </c>
      <c r="B177" s="81" t="s">
        <v>247</v>
      </c>
      <c r="C177" s="93" t="s">
        <v>597</v>
      </c>
      <c r="D177" s="44" t="s">
        <v>598</v>
      </c>
      <c r="E177" s="43">
        <v>3</v>
      </c>
      <c r="F177" s="9" t="s">
        <v>185</v>
      </c>
      <c r="G177" s="5" t="str">
        <f>VLOOKUP('[1]Beban Mengajar'!F176,[1]Dosen!A:B,2)</f>
        <v>Winda Narulidea, S.T., M.T.</v>
      </c>
      <c r="H177" t="s">
        <v>938</v>
      </c>
    </row>
    <row r="178" spans="1:8" hidden="1" x14ac:dyDescent="0.3">
      <c r="A178" s="5" t="s">
        <v>683</v>
      </c>
      <c r="B178" s="81" t="s">
        <v>247</v>
      </c>
      <c r="C178" s="93" t="s">
        <v>583</v>
      </c>
      <c r="D178" s="44" t="s">
        <v>773</v>
      </c>
      <c r="E178" s="43">
        <v>3</v>
      </c>
      <c r="F178" s="9" t="s">
        <v>185</v>
      </c>
      <c r="G178" s="5" t="str">
        <f>VLOOKUP('[1]Beban Mengajar'!F177,[1]Dosen!A:B,2)</f>
        <v>Winda Narulidea, S.T., M.T.</v>
      </c>
      <c r="H178" t="s">
        <v>938</v>
      </c>
    </row>
    <row r="179" spans="1:8" hidden="1" x14ac:dyDescent="0.3">
      <c r="A179" s="5" t="s">
        <v>683</v>
      </c>
      <c r="B179" s="81" t="s">
        <v>247</v>
      </c>
      <c r="C179" s="93" t="s">
        <v>587</v>
      </c>
      <c r="D179" s="44" t="s">
        <v>588</v>
      </c>
      <c r="E179" s="43">
        <v>3</v>
      </c>
      <c r="F179" s="9" t="s">
        <v>125</v>
      </c>
      <c r="G179" s="5" t="str">
        <f>VLOOKUP('[1]Beban Mengajar'!F178,[1]Dosen!A:B,2)</f>
        <v>Maulin Masyito Putri, S.T., M.T</v>
      </c>
      <c r="H179" t="s">
        <v>938</v>
      </c>
    </row>
    <row r="180" spans="1:8" hidden="1" x14ac:dyDescent="0.3">
      <c r="A180" s="5" t="s">
        <v>683</v>
      </c>
      <c r="B180" s="81" t="s">
        <v>656</v>
      </c>
      <c r="C180" s="93" t="s">
        <v>774</v>
      </c>
      <c r="D180" s="44" t="s">
        <v>336</v>
      </c>
      <c r="E180" s="43">
        <v>2</v>
      </c>
      <c r="F180" s="9" t="s">
        <v>136</v>
      </c>
      <c r="G180" s="5" t="str">
        <f>VLOOKUP('[1]Beban Mengajar'!F179,[1]Dosen!A:B,2)</f>
        <v>Oki Anita Candra Dewi, S.T., M.T.</v>
      </c>
      <c r="H180" t="s">
        <v>938</v>
      </c>
    </row>
    <row r="181" spans="1:8" hidden="1" x14ac:dyDescent="0.3">
      <c r="A181" s="5" t="s">
        <v>683</v>
      </c>
      <c r="B181" s="81" t="s">
        <v>656</v>
      </c>
      <c r="C181" s="93" t="s">
        <v>575</v>
      </c>
      <c r="D181" s="44" t="s">
        <v>775</v>
      </c>
      <c r="E181" s="43">
        <v>3</v>
      </c>
      <c r="F181" s="9" t="s">
        <v>164</v>
      </c>
      <c r="G181" s="5" t="str">
        <f>VLOOKUP('[1]Beban Mengajar'!F180,[1]Dosen!A:B,2)</f>
        <v>Siti Nurminarsih, S.T., M.T.</v>
      </c>
      <c r="H181" t="s">
        <v>938</v>
      </c>
    </row>
    <row r="182" spans="1:8" hidden="1" x14ac:dyDescent="0.3">
      <c r="A182" s="5" t="s">
        <v>683</v>
      </c>
      <c r="B182" s="81" t="s">
        <v>656</v>
      </c>
      <c r="C182" s="93" t="s">
        <v>591</v>
      </c>
      <c r="D182" s="44" t="s">
        <v>592</v>
      </c>
      <c r="E182" s="43" t="s">
        <v>880</v>
      </c>
      <c r="F182" s="9" t="s">
        <v>125</v>
      </c>
      <c r="G182" s="5" t="str">
        <f>VLOOKUP('[1]Beban Mengajar'!F181,[1]Dosen!A:B,2)</f>
        <v>Maulin Masyito Putri, S.T., M.T</v>
      </c>
      <c r="H182" t="s">
        <v>938</v>
      </c>
    </row>
    <row r="183" spans="1:8" hidden="1" x14ac:dyDescent="0.3">
      <c r="A183" s="5" t="s">
        <v>683</v>
      </c>
      <c r="B183" s="81" t="s">
        <v>656</v>
      </c>
      <c r="C183" s="93" t="s">
        <v>563</v>
      </c>
      <c r="D183" s="44" t="s">
        <v>564</v>
      </c>
      <c r="E183" s="43">
        <v>5</v>
      </c>
      <c r="F183" s="9" t="s">
        <v>136</v>
      </c>
      <c r="G183" s="5" t="str">
        <f>VLOOKUP('[1]Beban Mengajar'!F182,[1]Dosen!A:B,2)</f>
        <v>Oki Anita Candra Dewi, S.T., M.T.</v>
      </c>
      <c r="H183" t="s">
        <v>938</v>
      </c>
    </row>
    <row r="184" spans="1:8" hidden="1" x14ac:dyDescent="0.3">
      <c r="A184" s="5" t="s">
        <v>683</v>
      </c>
      <c r="B184" s="81" t="s">
        <v>656</v>
      </c>
      <c r="C184" s="93" t="s">
        <v>579</v>
      </c>
      <c r="D184" s="44" t="s">
        <v>460</v>
      </c>
      <c r="E184" s="43">
        <v>2</v>
      </c>
      <c r="F184" s="9" t="s">
        <v>164</v>
      </c>
      <c r="G184" s="5" t="str">
        <f>VLOOKUP('[1]Beban Mengajar'!F183,[1]Dosen!A:B,2)</f>
        <v>Siti Nurminarsih, S.T., M.T.</v>
      </c>
      <c r="H184" t="s">
        <v>938</v>
      </c>
    </row>
    <row r="185" spans="1:8" hidden="1" x14ac:dyDescent="0.3">
      <c r="A185" s="5" t="s">
        <v>683</v>
      </c>
      <c r="B185" s="58" t="s">
        <v>249</v>
      </c>
      <c r="C185" s="93" t="s">
        <v>776</v>
      </c>
      <c r="D185" s="44" t="s">
        <v>777</v>
      </c>
      <c r="E185" s="43">
        <v>3</v>
      </c>
      <c r="F185" s="9" t="s">
        <v>84</v>
      </c>
      <c r="G185" s="5" t="str">
        <f>VLOOKUP('[1]Beban Mengajar'!F184,[1]Dosen!A:B,2)</f>
        <v>Putri AKSI</v>
      </c>
      <c r="H185" t="s">
        <v>938</v>
      </c>
    </row>
    <row r="186" spans="1:8" hidden="1" x14ac:dyDescent="0.3">
      <c r="A186" s="5" t="s">
        <v>683</v>
      </c>
      <c r="B186" s="58" t="s">
        <v>249</v>
      </c>
      <c r="C186" s="93" t="s">
        <v>778</v>
      </c>
      <c r="D186" s="44" t="s">
        <v>779</v>
      </c>
      <c r="E186" s="43">
        <v>3</v>
      </c>
      <c r="F186" s="9"/>
      <c r="G186" s="5"/>
      <c r="H186" t="s">
        <v>938</v>
      </c>
    </row>
    <row r="187" spans="1:8" hidden="1" x14ac:dyDescent="0.3">
      <c r="A187" s="5" t="s">
        <v>683</v>
      </c>
      <c r="B187" s="58" t="s">
        <v>249</v>
      </c>
      <c r="C187" s="82"/>
      <c r="D187" s="44" t="s">
        <v>780</v>
      </c>
      <c r="E187" s="43">
        <v>3</v>
      </c>
      <c r="F187" s="9" t="s">
        <v>115</v>
      </c>
      <c r="G187" s="5" t="str">
        <f>VLOOKUP('[1]Beban Mengajar'!F186,[1]Dosen!A:B,2)</f>
        <v>Muhammad Faisal Ibrahim, S.T., M.T.</v>
      </c>
      <c r="H187" t="s">
        <v>938</v>
      </c>
    </row>
    <row r="188" spans="1:8" hidden="1" x14ac:dyDescent="0.3">
      <c r="A188" s="5" t="s">
        <v>683</v>
      </c>
      <c r="B188" s="81" t="s">
        <v>246</v>
      </c>
      <c r="C188" s="93" t="s">
        <v>768</v>
      </c>
      <c r="D188" s="44" t="s">
        <v>769</v>
      </c>
      <c r="E188" s="43">
        <v>3</v>
      </c>
      <c r="F188" s="9" t="s">
        <v>164</v>
      </c>
      <c r="G188" s="5" t="str">
        <f>VLOOKUP('[1]Beban Mengajar'!F187,[1]Dosen!A:B,2)</f>
        <v>Siti Nurminarsih, S.T., M.T.</v>
      </c>
      <c r="H188" t="s">
        <v>938</v>
      </c>
    </row>
    <row r="189" spans="1:8" hidden="1" x14ac:dyDescent="0.3">
      <c r="A189" s="5" t="s">
        <v>683</v>
      </c>
      <c r="B189" s="81" t="s">
        <v>246</v>
      </c>
      <c r="C189" s="93" t="s">
        <v>595</v>
      </c>
      <c r="D189" s="44" t="s">
        <v>596</v>
      </c>
      <c r="E189" s="43" t="s">
        <v>879</v>
      </c>
      <c r="F189" s="9" t="s">
        <v>185</v>
      </c>
      <c r="G189" s="5" t="str">
        <f>VLOOKUP('[1]Beban Mengajar'!F188,[1]Dosen!A:B,2)</f>
        <v>Winda Narulidea, S.T., M.T.</v>
      </c>
      <c r="H189" t="s">
        <v>938</v>
      </c>
    </row>
    <row r="190" spans="1:8" hidden="1" x14ac:dyDescent="0.3">
      <c r="A190" s="5" t="s">
        <v>683</v>
      </c>
      <c r="B190" s="81" t="s">
        <v>246</v>
      </c>
      <c r="C190" s="93" t="s">
        <v>771</v>
      </c>
      <c r="D190" s="44" t="s">
        <v>600</v>
      </c>
      <c r="E190" s="43" t="s">
        <v>879</v>
      </c>
      <c r="F190" s="9" t="s">
        <v>115</v>
      </c>
      <c r="G190" s="5" t="str">
        <f>VLOOKUP('[1]Beban Mengajar'!F189,[1]Dosen!A:B,2)</f>
        <v>Muhammad Faisal Ibrahim, S.T., M.T.</v>
      </c>
      <c r="H190" t="s">
        <v>938</v>
      </c>
    </row>
    <row r="191" spans="1:8" hidden="1" x14ac:dyDescent="0.3">
      <c r="A191" s="5" t="s">
        <v>683</v>
      </c>
      <c r="B191" s="81" t="s">
        <v>248</v>
      </c>
      <c r="C191" s="93" t="s">
        <v>589</v>
      </c>
      <c r="D191" s="44" t="s">
        <v>590</v>
      </c>
      <c r="E191" s="43">
        <v>4</v>
      </c>
      <c r="F191" s="9" t="s">
        <v>164</v>
      </c>
      <c r="G191" s="5" t="str">
        <f>VLOOKUP('[1]Beban Mengajar'!F190,[1]Dosen!A:B,2)</f>
        <v>Siti Nurminarsih, S.T., M.T.</v>
      </c>
      <c r="H191" t="s">
        <v>927</v>
      </c>
    </row>
    <row r="192" spans="1:8" hidden="1" x14ac:dyDescent="0.3">
      <c r="A192" s="5" t="s">
        <v>683</v>
      </c>
      <c r="B192" s="81" t="s">
        <v>248</v>
      </c>
      <c r="C192" s="93" t="s">
        <v>577</v>
      </c>
      <c r="D192" s="44" t="s">
        <v>772</v>
      </c>
      <c r="E192" s="43">
        <v>2</v>
      </c>
      <c r="F192" s="9" t="s">
        <v>113</v>
      </c>
      <c r="G192" s="5" t="str">
        <f>VLOOKUP('[1]Beban Mengajar'!F191,[1]Dosen!A:B,2)</f>
        <v>Mirza Dwinanda Ilmawan, S.E., M.M.</v>
      </c>
      <c r="H192" t="s">
        <v>927</v>
      </c>
    </row>
    <row r="193" spans="1:8" hidden="1" x14ac:dyDescent="0.3">
      <c r="A193" s="5" t="s">
        <v>683</v>
      </c>
      <c r="B193" s="81" t="s">
        <v>248</v>
      </c>
      <c r="C193" s="93" t="s">
        <v>597</v>
      </c>
      <c r="D193" s="44" t="s">
        <v>598</v>
      </c>
      <c r="E193" s="43">
        <v>3</v>
      </c>
      <c r="F193" s="9" t="s">
        <v>115</v>
      </c>
      <c r="G193" s="5" t="str">
        <f>VLOOKUP('[1]Beban Mengajar'!F192,[1]Dosen!A:B,2)</f>
        <v>Muhammad Faisal Ibrahim, S.T., M.T.</v>
      </c>
      <c r="H193" t="s">
        <v>927</v>
      </c>
    </row>
    <row r="194" spans="1:8" hidden="1" x14ac:dyDescent="0.3">
      <c r="A194" s="5" t="s">
        <v>683</v>
      </c>
      <c r="B194" s="81" t="s">
        <v>248</v>
      </c>
      <c r="C194" s="93" t="s">
        <v>583</v>
      </c>
      <c r="D194" s="44" t="s">
        <v>773</v>
      </c>
      <c r="E194" s="43">
        <v>3</v>
      </c>
      <c r="F194" s="9" t="s">
        <v>185</v>
      </c>
      <c r="G194" s="5" t="str">
        <f>VLOOKUP('[1]Beban Mengajar'!F193,[1]Dosen!A:B,2)</f>
        <v>Winda Narulidea, S.T., M.T.</v>
      </c>
      <c r="H194" t="s">
        <v>927</v>
      </c>
    </row>
    <row r="195" spans="1:8" hidden="1" x14ac:dyDescent="0.3">
      <c r="A195" s="5" t="s">
        <v>683</v>
      </c>
      <c r="B195" s="81" t="s">
        <v>248</v>
      </c>
      <c r="C195" s="93" t="s">
        <v>587</v>
      </c>
      <c r="D195" s="44" t="s">
        <v>588</v>
      </c>
      <c r="E195" s="43">
        <v>3</v>
      </c>
      <c r="F195" s="9" t="s">
        <v>115</v>
      </c>
      <c r="G195" s="5" t="str">
        <f>VLOOKUP('[1]Beban Mengajar'!F194,[1]Dosen!A:B,2)</f>
        <v>Muhammad Faisal Ibrahim, S.T., M.T.</v>
      </c>
      <c r="H195" t="s">
        <v>927</v>
      </c>
    </row>
    <row r="196" spans="1:8" hidden="1" x14ac:dyDescent="0.3">
      <c r="A196" s="5" t="s">
        <v>683</v>
      </c>
      <c r="B196" s="81" t="s">
        <v>657</v>
      </c>
      <c r="C196" s="93" t="s">
        <v>774</v>
      </c>
      <c r="D196" s="44" t="s">
        <v>336</v>
      </c>
      <c r="E196" s="43">
        <v>2</v>
      </c>
      <c r="F196" s="9" t="s">
        <v>136</v>
      </c>
      <c r="G196" s="5" t="str">
        <f>VLOOKUP('[1]Beban Mengajar'!F195,[1]Dosen!A:B,2)</f>
        <v>Oki Anita Candra Dewi, S.T., M.T.</v>
      </c>
      <c r="H196" t="s">
        <v>938</v>
      </c>
    </row>
    <row r="197" spans="1:8" hidden="1" x14ac:dyDescent="0.3">
      <c r="A197" s="5" t="s">
        <v>683</v>
      </c>
      <c r="B197" s="81" t="s">
        <v>656</v>
      </c>
      <c r="C197" s="93" t="s">
        <v>591</v>
      </c>
      <c r="D197" s="44" t="s">
        <v>592</v>
      </c>
      <c r="E197" s="43" t="s">
        <v>880</v>
      </c>
      <c r="F197" s="9" t="s">
        <v>136</v>
      </c>
      <c r="G197" s="5" t="str">
        <f>VLOOKUP('[1]Beban Mengajar'!F196,[1]Dosen!A:B,2)</f>
        <v>Oki Anita Candra Dewi, S.T., M.T.</v>
      </c>
      <c r="H197" t="s">
        <v>938</v>
      </c>
    </row>
    <row r="198" spans="1:8" hidden="1" x14ac:dyDescent="0.3">
      <c r="A198" s="5" t="s">
        <v>671</v>
      </c>
      <c r="B198" s="81" t="s">
        <v>236</v>
      </c>
      <c r="C198" s="94" t="s">
        <v>454</v>
      </c>
      <c r="D198" s="65" t="s">
        <v>536</v>
      </c>
      <c r="E198" s="63">
        <v>3</v>
      </c>
      <c r="F198" s="9" t="s">
        <v>189</v>
      </c>
      <c r="G198" s="5" t="str">
        <f>VLOOKUP('[1]Beban Mengajar'!F197,[1]Dosen!A:B,2)</f>
        <v>Yuni Kurniati, S.T., M.T.</v>
      </c>
      <c r="H198" t="s">
        <v>938</v>
      </c>
    </row>
    <row r="199" spans="1:8" hidden="1" x14ac:dyDescent="0.3">
      <c r="A199" s="5" t="s">
        <v>671</v>
      </c>
      <c r="B199" s="81" t="s">
        <v>236</v>
      </c>
      <c r="C199" s="94" t="s">
        <v>453</v>
      </c>
      <c r="D199" s="65" t="s">
        <v>781</v>
      </c>
      <c r="E199" s="63">
        <v>2</v>
      </c>
      <c r="F199" s="9" t="s">
        <v>41</v>
      </c>
      <c r="G199" s="5" t="str">
        <f>VLOOKUP('[1]Beban Mengajar'!F198,[1]Dosen!A:B,2)</f>
        <v>Fandi Angga Prasetya, S.Si., M.Si</v>
      </c>
      <c r="H199" t="s">
        <v>938</v>
      </c>
    </row>
    <row r="200" spans="1:8" hidden="1" x14ac:dyDescent="0.3">
      <c r="A200" s="5" t="s">
        <v>671</v>
      </c>
      <c r="B200" s="81" t="s">
        <v>236</v>
      </c>
      <c r="C200" s="94" t="s">
        <v>990</v>
      </c>
      <c r="D200" s="65" t="s">
        <v>997</v>
      </c>
      <c r="E200" s="63">
        <v>3</v>
      </c>
      <c r="F200" s="9" t="s">
        <v>962</v>
      </c>
      <c r="G200" s="5" t="s">
        <v>975</v>
      </c>
      <c r="H200" t="s">
        <v>989</v>
      </c>
    </row>
    <row r="201" spans="1:8" hidden="1" x14ac:dyDescent="0.3">
      <c r="A201" s="5" t="s">
        <v>671</v>
      </c>
      <c r="B201" s="81" t="s">
        <v>236</v>
      </c>
      <c r="C201" s="94" t="s">
        <v>534</v>
      </c>
      <c r="D201" s="65" t="s">
        <v>535</v>
      </c>
      <c r="E201" s="63">
        <v>2</v>
      </c>
      <c r="F201" s="9" t="s">
        <v>20</v>
      </c>
      <c r="G201" s="5" t="str">
        <f>VLOOKUP('[1]Beban Mengajar'!F199,[1]Dosen!A:B,2)</f>
        <v>Ani Rahmat</v>
      </c>
      <c r="H201" t="s">
        <v>914</v>
      </c>
    </row>
    <row r="202" spans="1:8" hidden="1" x14ac:dyDescent="0.3">
      <c r="A202" s="5" t="s">
        <v>671</v>
      </c>
      <c r="B202" s="81" t="s">
        <v>236</v>
      </c>
      <c r="C202" s="94" t="s">
        <v>547</v>
      </c>
      <c r="D202" s="65" t="s">
        <v>548</v>
      </c>
      <c r="E202" s="63">
        <v>3</v>
      </c>
      <c r="F202" s="9" t="s">
        <v>138</v>
      </c>
      <c r="G202" s="5" t="str">
        <f>VLOOKUP('[1]Beban Mengajar'!F200,[1]Dosen!A:B,2)</f>
        <v>Okky Putri Prastuti, S.T., M.T.</v>
      </c>
      <c r="H202" t="s">
        <v>938</v>
      </c>
    </row>
    <row r="203" spans="1:8" hidden="1" x14ac:dyDescent="0.3">
      <c r="A203" s="5" t="s">
        <v>671</v>
      </c>
      <c r="B203" s="81" t="s">
        <v>236</v>
      </c>
      <c r="C203" s="94" t="s">
        <v>457</v>
      </c>
      <c r="D203" s="65" t="s">
        <v>782</v>
      </c>
      <c r="E203" s="63">
        <v>2</v>
      </c>
      <c r="F203" s="9" t="s">
        <v>189</v>
      </c>
      <c r="G203" s="5" t="str">
        <f>VLOOKUP('[1]Beban Mengajar'!F201,[1]Dosen!A:B,2)</f>
        <v>Yuni Kurniati, S.T., M.T.</v>
      </c>
      <c r="H203" t="s">
        <v>938</v>
      </c>
    </row>
    <row r="204" spans="1:8" hidden="1" x14ac:dyDescent="0.3">
      <c r="A204" s="5" t="s">
        <v>671</v>
      </c>
      <c r="B204" s="81" t="s">
        <v>236</v>
      </c>
      <c r="C204" s="94" t="s">
        <v>992</v>
      </c>
      <c r="D204" s="65" t="s">
        <v>998</v>
      </c>
      <c r="E204" s="63">
        <v>4</v>
      </c>
      <c r="F204" s="9" t="s">
        <v>963</v>
      </c>
      <c r="G204" s="5" t="s">
        <v>976</v>
      </c>
      <c r="H204" t="s">
        <v>989</v>
      </c>
    </row>
    <row r="205" spans="1:8" hidden="1" x14ac:dyDescent="0.3">
      <c r="A205" s="5" t="s">
        <v>671</v>
      </c>
      <c r="B205" s="81" t="s">
        <v>238</v>
      </c>
      <c r="C205" s="94" t="s">
        <v>543</v>
      </c>
      <c r="D205" s="65" t="s">
        <v>544</v>
      </c>
      <c r="E205" s="63">
        <v>3</v>
      </c>
      <c r="F205" s="9" t="s">
        <v>189</v>
      </c>
      <c r="G205" s="5" t="str">
        <f>VLOOKUP('[1]Beban Mengajar'!F202,[1]Dosen!A:B,2)</f>
        <v>Yuni Kurniati, S.T., M.T.</v>
      </c>
      <c r="H205" t="s">
        <v>927</v>
      </c>
    </row>
    <row r="206" spans="1:8" hidden="1" x14ac:dyDescent="0.3">
      <c r="A206" s="5" t="s">
        <v>671</v>
      </c>
      <c r="B206" s="81" t="s">
        <v>238</v>
      </c>
      <c r="C206" s="94" t="s">
        <v>538</v>
      </c>
      <c r="D206" s="65" t="s">
        <v>783</v>
      </c>
      <c r="E206" s="63">
        <v>2</v>
      </c>
      <c r="F206" s="9" t="s">
        <v>41</v>
      </c>
      <c r="G206" s="5" t="str">
        <f>VLOOKUP('[1]Beban Mengajar'!F203,[1]Dosen!A:B,2)</f>
        <v>Fandi Angga Prasetya, S.Si., M.Si</v>
      </c>
      <c r="H206" t="s">
        <v>927</v>
      </c>
    </row>
    <row r="207" spans="1:8" hidden="1" x14ac:dyDescent="0.3">
      <c r="A207" s="5" t="s">
        <v>671</v>
      </c>
      <c r="B207" s="81" t="s">
        <v>238</v>
      </c>
      <c r="C207" s="94" t="s">
        <v>1003</v>
      </c>
      <c r="D207" s="65" t="s">
        <v>1004</v>
      </c>
      <c r="E207" s="63">
        <v>3.5</v>
      </c>
      <c r="F207" s="9" t="s">
        <v>966</v>
      </c>
      <c r="G207" s="5" t="s">
        <v>979</v>
      </c>
      <c r="H207" t="s">
        <v>1002</v>
      </c>
    </row>
    <row r="208" spans="1:8" hidden="1" x14ac:dyDescent="0.3">
      <c r="A208" s="5" t="s">
        <v>671</v>
      </c>
      <c r="B208" s="81" t="s">
        <v>238</v>
      </c>
      <c r="C208" s="94" t="s">
        <v>1003</v>
      </c>
      <c r="D208" s="65" t="s">
        <v>1005</v>
      </c>
      <c r="E208" s="63">
        <v>3.5</v>
      </c>
      <c r="F208" s="9" t="s">
        <v>967</v>
      </c>
      <c r="G208" s="5" t="s">
        <v>980</v>
      </c>
      <c r="H208" t="s">
        <v>1002</v>
      </c>
    </row>
    <row r="209" spans="1:8" hidden="1" x14ac:dyDescent="0.3">
      <c r="A209" s="5" t="s">
        <v>671</v>
      </c>
      <c r="B209" s="81" t="s">
        <v>238</v>
      </c>
      <c r="C209" s="94" t="s">
        <v>551</v>
      </c>
      <c r="D209" s="65" t="s">
        <v>552</v>
      </c>
      <c r="E209" s="63">
        <v>3</v>
      </c>
      <c r="F209" s="9" t="s">
        <v>38</v>
      </c>
      <c r="G209" s="5" t="str">
        <f>VLOOKUP('[1]Beban Mengajar'!F204,[1]Dosen!A:B,2)</f>
        <v>Eka Lutfi Septiani, S.T., M.T.</v>
      </c>
      <c r="H209" t="s">
        <v>927</v>
      </c>
    </row>
    <row r="210" spans="1:8" hidden="1" x14ac:dyDescent="0.3">
      <c r="A210" s="5" t="s">
        <v>671</v>
      </c>
      <c r="B210" s="81" t="s">
        <v>238</v>
      </c>
      <c r="C210" s="94" t="s">
        <v>559</v>
      </c>
      <c r="D210" s="65" t="s">
        <v>560</v>
      </c>
      <c r="E210" s="63">
        <v>3</v>
      </c>
      <c r="F210" s="9" t="s">
        <v>121</v>
      </c>
      <c r="G210" s="5" t="str">
        <f>VLOOKUP('[1]Beban Mengajar'!F205,[1]Dosen!A:B,2)</f>
        <v>Mala Hayati Nasution, S.T., M.T</v>
      </c>
      <c r="H210" t="s">
        <v>927</v>
      </c>
    </row>
    <row r="211" spans="1:8" hidden="1" x14ac:dyDescent="0.3">
      <c r="A211" s="5" t="s">
        <v>671</v>
      </c>
      <c r="B211" s="81" t="s">
        <v>238</v>
      </c>
      <c r="C211" s="94" t="s">
        <v>528</v>
      </c>
      <c r="D211" s="65" t="s">
        <v>529</v>
      </c>
      <c r="E211" s="63">
        <v>3</v>
      </c>
      <c r="F211" s="9" t="s">
        <v>189</v>
      </c>
      <c r="G211" s="5" t="str">
        <f>VLOOKUP('[1]Beban Mengajar'!F206,[1]Dosen!A:B,2)</f>
        <v>Yuni Kurniati, S.T., M.T.</v>
      </c>
      <c r="H211" t="s">
        <v>927</v>
      </c>
    </row>
    <row r="212" spans="1:8" hidden="1" x14ac:dyDescent="0.3">
      <c r="A212" s="5" t="s">
        <v>671</v>
      </c>
      <c r="B212" s="81" t="s">
        <v>238</v>
      </c>
      <c r="C212" s="94" t="s">
        <v>539</v>
      </c>
      <c r="D212" s="65" t="s">
        <v>784</v>
      </c>
      <c r="E212" s="63">
        <v>2</v>
      </c>
      <c r="F212" s="9" t="s">
        <v>91</v>
      </c>
      <c r="G212" s="5" t="str">
        <f>VLOOKUP('[1]Beban Mengajar'!F207,[1]Dosen!A:B,2)</f>
        <v>Tontowi Ismail</v>
      </c>
      <c r="H212" t="s">
        <v>927</v>
      </c>
    </row>
    <row r="213" spans="1:8" hidden="1" x14ac:dyDescent="0.3">
      <c r="A213" s="5" t="s">
        <v>671</v>
      </c>
      <c r="B213" s="81" t="s">
        <v>238</v>
      </c>
      <c r="C213" s="94" t="s">
        <v>999</v>
      </c>
      <c r="D213" s="65" t="s">
        <v>1000</v>
      </c>
      <c r="E213" s="63">
        <v>4</v>
      </c>
      <c r="F213" s="9" t="s">
        <v>964</v>
      </c>
      <c r="G213" s="5" t="s">
        <v>977</v>
      </c>
      <c r="H213" t="s">
        <v>1002</v>
      </c>
    </row>
    <row r="214" spans="1:8" hidden="1" x14ac:dyDescent="0.3">
      <c r="A214" s="5" t="s">
        <v>671</v>
      </c>
      <c r="B214" s="81" t="s">
        <v>238</v>
      </c>
      <c r="C214" s="94" t="s">
        <v>999</v>
      </c>
      <c r="D214" s="65" t="s">
        <v>1001</v>
      </c>
      <c r="E214" s="63">
        <v>4</v>
      </c>
      <c r="F214" s="9" t="s">
        <v>965</v>
      </c>
      <c r="G214" s="5" t="s">
        <v>978</v>
      </c>
      <c r="H214" t="s">
        <v>1002</v>
      </c>
    </row>
    <row r="215" spans="1:8" hidden="1" x14ac:dyDescent="0.3">
      <c r="A215" s="5" t="s">
        <v>671</v>
      </c>
      <c r="B215" s="81" t="s">
        <v>240</v>
      </c>
      <c r="C215" s="94" t="s">
        <v>537</v>
      </c>
      <c r="D215" s="65" t="s">
        <v>329</v>
      </c>
      <c r="E215" s="63">
        <v>3</v>
      </c>
      <c r="F215" s="9" t="s">
        <v>20</v>
      </c>
      <c r="G215" s="5" t="str">
        <f>VLOOKUP('[1]Beban Mengajar'!F208,[1]Dosen!A:B,2)</f>
        <v>Ani Rahmat</v>
      </c>
      <c r="H215" t="s">
        <v>938</v>
      </c>
    </row>
    <row r="216" spans="1:8" hidden="1" x14ac:dyDescent="0.3">
      <c r="A216" s="5" t="s">
        <v>671</v>
      </c>
      <c r="B216" s="81" t="s">
        <v>240</v>
      </c>
      <c r="C216" s="94" t="s">
        <v>540</v>
      </c>
      <c r="D216" s="65" t="s">
        <v>785</v>
      </c>
      <c r="E216" s="63">
        <v>2</v>
      </c>
      <c r="F216" s="9" t="s">
        <v>38</v>
      </c>
      <c r="G216" s="5" t="str">
        <f>VLOOKUP('[1]Beban Mengajar'!F209,[1]Dosen!A:B,2)</f>
        <v>Eka Lutfi Septiani, S.T., M.T.</v>
      </c>
      <c r="H216" t="s">
        <v>938</v>
      </c>
    </row>
    <row r="217" spans="1:8" hidden="1" x14ac:dyDescent="0.3">
      <c r="A217" s="5" t="s">
        <v>671</v>
      </c>
      <c r="B217" s="81" t="s">
        <v>240</v>
      </c>
      <c r="C217" s="94" t="s">
        <v>1006</v>
      </c>
      <c r="D217" s="65" t="s">
        <v>1007</v>
      </c>
      <c r="E217" s="63">
        <v>3.5</v>
      </c>
      <c r="F217" s="9" t="s">
        <v>968</v>
      </c>
      <c r="G217" s="5" t="s">
        <v>981</v>
      </c>
      <c r="H217" t="s">
        <v>914</v>
      </c>
    </row>
    <row r="218" spans="1:8" hidden="1" x14ac:dyDescent="0.3">
      <c r="A218" s="5" t="s">
        <v>671</v>
      </c>
      <c r="B218" s="51" t="s">
        <v>958</v>
      </c>
      <c r="C218" s="94" t="s">
        <v>545</v>
      </c>
      <c r="D218" s="102" t="s">
        <v>546</v>
      </c>
      <c r="E218" s="63">
        <v>3</v>
      </c>
      <c r="F218" s="9" t="s">
        <v>138</v>
      </c>
      <c r="G218" s="5" t="str">
        <f>VLOOKUP('[1]Beban Mengajar'!F210,[1]Dosen!A:B,2)</f>
        <v>Okky Putri Prastuti, S.T., M.T.</v>
      </c>
      <c r="H218" t="s">
        <v>927</v>
      </c>
    </row>
    <row r="219" spans="1:8" hidden="1" x14ac:dyDescent="0.3">
      <c r="A219" s="5" t="s">
        <v>671</v>
      </c>
      <c r="B219" s="81" t="s">
        <v>240</v>
      </c>
      <c r="C219" s="94" t="s">
        <v>450</v>
      </c>
      <c r="D219" s="65" t="s">
        <v>451</v>
      </c>
      <c r="E219" s="63">
        <v>3</v>
      </c>
      <c r="F219" s="9" t="s">
        <v>138</v>
      </c>
      <c r="G219" s="5" t="str">
        <f>VLOOKUP('[1]Beban Mengajar'!F211,[1]Dosen!A:B,2)</f>
        <v>Okky Putri Prastuti, S.T., M.T.</v>
      </c>
      <c r="H219" t="s">
        <v>938</v>
      </c>
    </row>
    <row r="220" spans="1:8" hidden="1" x14ac:dyDescent="0.3">
      <c r="A220" s="5" t="s">
        <v>671</v>
      </c>
      <c r="B220" s="51" t="s">
        <v>958</v>
      </c>
      <c r="C220" s="94" t="s">
        <v>555</v>
      </c>
      <c r="D220" s="65" t="s">
        <v>556</v>
      </c>
      <c r="E220" s="63">
        <v>2</v>
      </c>
      <c r="F220" s="9" t="s">
        <v>91</v>
      </c>
      <c r="G220" s="5" t="str">
        <f>VLOOKUP('[1]Beban Mengajar'!F212,[1]Dosen!A:B,2)</f>
        <v>Tontowi Ismail</v>
      </c>
      <c r="H220" t="s">
        <v>927</v>
      </c>
    </row>
    <row r="221" spans="1:8" hidden="1" x14ac:dyDescent="0.3">
      <c r="A221" s="5" t="s">
        <v>671</v>
      </c>
      <c r="B221" s="51" t="s">
        <v>958</v>
      </c>
      <c r="C221" s="94" t="s">
        <v>557</v>
      </c>
      <c r="D221" s="102" t="s">
        <v>558</v>
      </c>
      <c r="E221" s="63">
        <v>3</v>
      </c>
      <c r="F221" s="9" t="s">
        <v>121</v>
      </c>
      <c r="G221" s="5" t="str">
        <f>VLOOKUP('[1]Beban Mengajar'!F213,[1]Dosen!A:B,2)</f>
        <v>Mala Hayati Nasution, S.T., M.T</v>
      </c>
      <c r="H221" t="s">
        <v>927</v>
      </c>
    </row>
    <row r="222" spans="1:8" hidden="1" x14ac:dyDescent="0.3">
      <c r="A222" s="5" t="s">
        <v>671</v>
      </c>
      <c r="B222" s="81" t="s">
        <v>240</v>
      </c>
      <c r="C222" s="94" t="s">
        <v>541</v>
      </c>
      <c r="D222" s="65" t="s">
        <v>542</v>
      </c>
      <c r="E222" s="63">
        <v>2</v>
      </c>
      <c r="F222" s="9" t="s">
        <v>189</v>
      </c>
      <c r="G222" s="5" t="str">
        <f>VLOOKUP('[1]Beban Mengajar'!F214,[1]Dosen!A:B,2)</f>
        <v>Yuni Kurniati, S.T., M.T.</v>
      </c>
      <c r="H222" t="s">
        <v>938</v>
      </c>
    </row>
    <row r="223" spans="1:8" hidden="1" x14ac:dyDescent="0.3">
      <c r="A223" s="5" t="s">
        <v>671</v>
      </c>
      <c r="B223" s="81" t="s">
        <v>240</v>
      </c>
      <c r="C223" s="94" t="s">
        <v>1012</v>
      </c>
      <c r="D223" s="65" t="s">
        <v>1013</v>
      </c>
      <c r="E223" s="63">
        <v>5</v>
      </c>
      <c r="F223" s="9" t="s">
        <v>970</v>
      </c>
      <c r="G223" s="5" t="s">
        <v>983</v>
      </c>
      <c r="H223" t="s">
        <v>1009</v>
      </c>
    </row>
    <row r="224" spans="1:8" hidden="1" x14ac:dyDescent="0.3">
      <c r="A224" s="5" t="s">
        <v>671</v>
      </c>
      <c r="B224" s="81" t="s">
        <v>241</v>
      </c>
      <c r="C224" s="94" t="s">
        <v>537</v>
      </c>
      <c r="D224" s="65" t="s">
        <v>329</v>
      </c>
      <c r="E224" s="63">
        <v>3</v>
      </c>
      <c r="F224" s="9" t="s">
        <v>148</v>
      </c>
      <c r="G224" s="5" t="str">
        <f>VLOOKUP('[1]Beban Mengajar'!F215,[1]Dosen!A:B,2)</f>
        <v>Ruktin Handayani, S.Kom., M.Kom.</v>
      </c>
      <c r="H224" t="s">
        <v>938</v>
      </c>
    </row>
    <row r="225" spans="1:8" hidden="1" x14ac:dyDescent="0.3">
      <c r="A225" s="5" t="s">
        <v>671</v>
      </c>
      <c r="B225" s="81" t="s">
        <v>241</v>
      </c>
      <c r="C225" s="94" t="s">
        <v>540</v>
      </c>
      <c r="D225" s="65" t="s">
        <v>785</v>
      </c>
      <c r="E225" s="63">
        <v>2</v>
      </c>
      <c r="F225" s="9" t="s">
        <v>20</v>
      </c>
      <c r="G225" s="5" t="str">
        <f>VLOOKUP('[1]Beban Mengajar'!F216,[1]Dosen!A:B,2)</f>
        <v>Ani Rahmat</v>
      </c>
      <c r="H225" t="s">
        <v>938</v>
      </c>
    </row>
    <row r="226" spans="1:8" hidden="1" x14ac:dyDescent="0.3">
      <c r="A226" s="5" t="s">
        <v>671</v>
      </c>
      <c r="B226" s="81" t="s">
        <v>241</v>
      </c>
      <c r="C226" s="94" t="s">
        <v>1006</v>
      </c>
      <c r="D226" s="65" t="s">
        <v>1007</v>
      </c>
      <c r="E226" s="63">
        <v>3.5</v>
      </c>
      <c r="F226" s="9" t="s">
        <v>969</v>
      </c>
      <c r="G226" s="5" t="s">
        <v>982</v>
      </c>
      <c r="H226" t="s">
        <v>914</v>
      </c>
    </row>
    <row r="227" spans="1:8" hidden="1" x14ac:dyDescent="0.3">
      <c r="A227" s="5" t="s">
        <v>671</v>
      </c>
      <c r="B227" s="81" t="s">
        <v>241</v>
      </c>
      <c r="C227" s="94" t="s">
        <v>450</v>
      </c>
      <c r="D227" s="65" t="s">
        <v>451</v>
      </c>
      <c r="E227" s="63">
        <v>3</v>
      </c>
      <c r="F227" s="9" t="s">
        <v>121</v>
      </c>
      <c r="G227" s="5" t="str">
        <f>VLOOKUP('[1]Beban Mengajar'!F218,[1]Dosen!A:B,2)</f>
        <v>Mala Hayati Nasution, S.T., M.T</v>
      </c>
      <c r="H227" t="s">
        <v>938</v>
      </c>
    </row>
    <row r="228" spans="1:8" hidden="1" x14ac:dyDescent="0.3">
      <c r="A228" s="5" t="s">
        <v>671</v>
      </c>
      <c r="B228" s="81" t="s">
        <v>241</v>
      </c>
      <c r="C228" s="94" t="s">
        <v>541</v>
      </c>
      <c r="D228" s="65" t="s">
        <v>542</v>
      </c>
      <c r="E228" s="63">
        <v>2</v>
      </c>
      <c r="F228" s="9" t="s">
        <v>38</v>
      </c>
      <c r="G228" s="5" t="str">
        <f>VLOOKUP('[1]Beban Mengajar'!F220,[1]Dosen!A:B,2)</f>
        <v>Eka Lutfi Septiani, S.T., M.T.</v>
      </c>
      <c r="H228" t="s">
        <v>938</v>
      </c>
    </row>
    <row r="229" spans="1:8" hidden="1" x14ac:dyDescent="0.3">
      <c r="A229" s="5" t="s">
        <v>671</v>
      </c>
      <c r="B229" s="81" t="s">
        <v>241</v>
      </c>
      <c r="C229" s="94" t="s">
        <v>1012</v>
      </c>
      <c r="D229" s="65" t="s">
        <v>1013</v>
      </c>
      <c r="E229" s="63">
        <v>5</v>
      </c>
      <c r="F229" s="9" t="s">
        <v>971</v>
      </c>
      <c r="G229" s="5" t="s">
        <v>984</v>
      </c>
      <c r="H229" t="s">
        <v>1009</v>
      </c>
    </row>
    <row r="230" spans="1:8" hidden="1" x14ac:dyDescent="0.3">
      <c r="A230" s="5" t="s">
        <v>671</v>
      </c>
      <c r="B230" s="81" t="s">
        <v>654</v>
      </c>
      <c r="C230" s="94" t="s">
        <v>532</v>
      </c>
      <c r="D230" s="65" t="s">
        <v>533</v>
      </c>
      <c r="E230" s="63">
        <v>3</v>
      </c>
      <c r="F230" s="9" t="s">
        <v>38</v>
      </c>
      <c r="G230" s="5" t="str">
        <f>VLOOKUP('[1]Beban Mengajar'!F221,[1]Dosen!A:B,2)</f>
        <v>Eka Lutfi Septiani, S.T., M.T.</v>
      </c>
      <c r="H230" t="s">
        <v>938</v>
      </c>
    </row>
    <row r="231" spans="1:8" hidden="1" x14ac:dyDescent="0.3">
      <c r="A231" s="5" t="s">
        <v>671</v>
      </c>
      <c r="B231" s="81" t="s">
        <v>654</v>
      </c>
      <c r="C231" s="94" t="s">
        <v>549</v>
      </c>
      <c r="D231" s="65" t="s">
        <v>887</v>
      </c>
      <c r="E231" s="63">
        <v>3</v>
      </c>
      <c r="F231" s="9" t="s">
        <v>41</v>
      </c>
      <c r="G231" s="5" t="str">
        <f>VLOOKUP('[1]Beban Mengajar'!F222,[1]Dosen!A:B,2)</f>
        <v>Fandi Angga Prasetya, S.Si., M.Si</v>
      </c>
      <c r="H231" t="s">
        <v>938</v>
      </c>
    </row>
    <row r="232" spans="1:8" hidden="1" x14ac:dyDescent="0.3">
      <c r="A232" s="5" t="s">
        <v>671</v>
      </c>
      <c r="B232" s="81" t="s">
        <v>654</v>
      </c>
      <c r="C232" s="94" t="s">
        <v>550</v>
      </c>
      <c r="D232" s="65" t="s">
        <v>786</v>
      </c>
      <c r="E232" s="63">
        <v>3</v>
      </c>
      <c r="F232" s="9" t="s">
        <v>54</v>
      </c>
      <c r="G232" s="5" t="str">
        <f>VLOOKUP('[1]Beban Mengajar'!F223,[1]Dosen!A:B,2)</f>
        <v>Izzati Winda Murti, S.T., M.T.</v>
      </c>
      <c r="H232" t="s">
        <v>938</v>
      </c>
    </row>
    <row r="233" spans="1:8" hidden="1" x14ac:dyDescent="0.3">
      <c r="A233" s="5" t="s">
        <v>671</v>
      </c>
      <c r="B233" s="81" t="s">
        <v>654</v>
      </c>
      <c r="C233" s="94" t="s">
        <v>530</v>
      </c>
      <c r="D233" s="65" t="s">
        <v>531</v>
      </c>
      <c r="E233" s="63">
        <v>2</v>
      </c>
      <c r="F233" s="9" t="s">
        <v>41</v>
      </c>
      <c r="G233" s="5" t="str">
        <f>VLOOKUP('[1]Beban Mengajar'!F224,[1]Dosen!A:B,2)</f>
        <v>Fandi Angga Prasetya, S.Si., M.Si</v>
      </c>
      <c r="H233" t="s">
        <v>938</v>
      </c>
    </row>
    <row r="234" spans="1:8" hidden="1" x14ac:dyDescent="0.3">
      <c r="A234" s="5" t="s">
        <v>671</v>
      </c>
      <c r="B234" s="81" t="s">
        <v>654</v>
      </c>
      <c r="C234" s="94" t="s">
        <v>553</v>
      </c>
      <c r="D234" s="65" t="s">
        <v>554</v>
      </c>
      <c r="E234" s="63">
        <v>2</v>
      </c>
      <c r="F234" s="9" t="s">
        <v>20</v>
      </c>
      <c r="G234" s="5" t="str">
        <f>VLOOKUP('[1]Beban Mengajar'!F225,[1]Dosen!A:B,2)</f>
        <v>Ani Rahmat</v>
      </c>
      <c r="H234" t="s">
        <v>938</v>
      </c>
    </row>
    <row r="235" spans="1:8" hidden="1" x14ac:dyDescent="0.3">
      <c r="A235" s="5" t="s">
        <v>888</v>
      </c>
      <c r="B235" s="95" t="s">
        <v>252</v>
      </c>
      <c r="C235" s="90" t="s">
        <v>453</v>
      </c>
      <c r="D235" s="5" t="s">
        <v>606</v>
      </c>
      <c r="E235" s="2">
        <v>2</v>
      </c>
      <c r="F235" s="9" t="s">
        <v>34</v>
      </c>
      <c r="G235" s="5" t="str">
        <f>VLOOKUP('[1]Beban Mengajar'!F228,[1]Dosen!A:B,2)</f>
        <v>Elita Fidiya Nugrahani, S.T., M.Eng., M.T.</v>
      </c>
      <c r="H235" t="s">
        <v>938</v>
      </c>
    </row>
    <row r="236" spans="1:8" hidden="1" x14ac:dyDescent="0.3">
      <c r="A236" s="5" t="s">
        <v>888</v>
      </c>
      <c r="B236" s="95" t="s">
        <v>252</v>
      </c>
      <c r="C236" s="90" t="s">
        <v>990</v>
      </c>
      <c r="D236" s="5" t="s">
        <v>991</v>
      </c>
      <c r="E236" s="2">
        <v>3</v>
      </c>
      <c r="F236" s="9" t="s">
        <v>985</v>
      </c>
      <c r="G236" s="5" t="s">
        <v>987</v>
      </c>
      <c r="H236" t="s">
        <v>989</v>
      </c>
    </row>
    <row r="237" spans="1:8" hidden="1" x14ac:dyDescent="0.3">
      <c r="A237" s="5" t="s">
        <v>888</v>
      </c>
      <c r="B237" s="95" t="s">
        <v>252</v>
      </c>
      <c r="C237" s="96" t="s">
        <v>454</v>
      </c>
      <c r="D237" s="5" t="s">
        <v>455</v>
      </c>
      <c r="E237" s="2">
        <v>3</v>
      </c>
      <c r="F237" s="9" t="s">
        <v>166</v>
      </c>
      <c r="G237" s="5" t="str">
        <f>VLOOKUP('[1]Beban Mengajar'!F229,[1]Dosen!A:B,2)</f>
        <v>Sekarsari Utami Wijaya, S.Stat</v>
      </c>
      <c r="H237" t="s">
        <v>938</v>
      </c>
    </row>
    <row r="238" spans="1:8" hidden="1" x14ac:dyDescent="0.3">
      <c r="A238" s="5" t="s">
        <v>888</v>
      </c>
      <c r="B238" s="95" t="s">
        <v>252</v>
      </c>
      <c r="C238" s="82" t="s">
        <v>620</v>
      </c>
      <c r="D238" s="5" t="s">
        <v>621</v>
      </c>
      <c r="E238" s="2">
        <v>2</v>
      </c>
      <c r="F238" s="9" t="s">
        <v>40</v>
      </c>
      <c r="G238" s="5" t="str">
        <f>VLOOKUP('[1]Beban Mengajar'!F230,[1]Dosen!A:B,2)</f>
        <v>Elsi Mersilia Hanesti, S.EI., M.SE</v>
      </c>
      <c r="H238" t="s">
        <v>938</v>
      </c>
    </row>
    <row r="239" spans="1:8" hidden="1" x14ac:dyDescent="0.3">
      <c r="A239" s="5" t="s">
        <v>888</v>
      </c>
      <c r="B239" s="95" t="s">
        <v>252</v>
      </c>
      <c r="C239" s="82" t="s">
        <v>607</v>
      </c>
      <c r="D239" s="5" t="s">
        <v>458</v>
      </c>
      <c r="E239" s="2">
        <v>2</v>
      </c>
      <c r="F239" s="9" t="s">
        <v>195</v>
      </c>
      <c r="G239" s="5" t="str">
        <f>VLOOKUP('[1]Beban Mengajar'!F231,[1]Dosen!A:B,2)</f>
        <v>Yunita Siti Mardhiyyah</v>
      </c>
      <c r="H239" t="s">
        <v>938</v>
      </c>
    </row>
    <row r="240" spans="1:8" hidden="1" x14ac:dyDescent="0.3">
      <c r="A240" s="5" t="s">
        <v>888</v>
      </c>
      <c r="B240" s="95" t="s">
        <v>252</v>
      </c>
      <c r="C240" s="82" t="s">
        <v>996</v>
      </c>
      <c r="D240" s="5" t="s">
        <v>993</v>
      </c>
      <c r="E240" s="2">
        <v>4</v>
      </c>
      <c r="F240" s="9" t="s">
        <v>986</v>
      </c>
      <c r="G240" s="5" t="s">
        <v>988</v>
      </c>
      <c r="H240" t="s">
        <v>989</v>
      </c>
    </row>
    <row r="241" spans="1:8" hidden="1" x14ac:dyDescent="0.3">
      <c r="A241" s="5" t="s">
        <v>888</v>
      </c>
      <c r="B241" s="95" t="s">
        <v>252</v>
      </c>
      <c r="C241" s="82" t="s">
        <v>618</v>
      </c>
      <c r="D241" s="5" t="s">
        <v>619</v>
      </c>
      <c r="E241" s="2">
        <v>3</v>
      </c>
      <c r="F241" s="9" t="s">
        <v>2</v>
      </c>
      <c r="G241" s="5" t="str">
        <f>VLOOKUP('[1]Beban Mengajar'!F232,[1]Dosen!A:B,2)</f>
        <v>Azmi Alvian Gabriel, S.TP., M.P.</v>
      </c>
      <c r="H241" t="s">
        <v>937</v>
      </c>
    </row>
    <row r="242" spans="1:8" hidden="1" x14ac:dyDescent="0.3">
      <c r="A242" s="5" t="s">
        <v>888</v>
      </c>
      <c r="B242" s="95" t="s">
        <v>252</v>
      </c>
      <c r="C242" s="82" t="s">
        <v>608</v>
      </c>
      <c r="D242" s="5" t="s">
        <v>504</v>
      </c>
      <c r="E242" s="2">
        <v>2</v>
      </c>
      <c r="F242" s="9" t="s">
        <v>187</v>
      </c>
      <c r="G242" s="5" t="str">
        <f>VLOOKUP('[1]Beban Mengajar'!F233,[1]Dosen!A:B,2)</f>
        <v>Yohanes Indra Riskajaya, S.Kom., M.Kom</v>
      </c>
      <c r="H242" t="s">
        <v>914</v>
      </c>
    </row>
    <row r="243" spans="1:8" hidden="1" x14ac:dyDescent="0.3">
      <c r="A243" s="5" t="s">
        <v>888</v>
      </c>
      <c r="B243" s="95" t="s">
        <v>251</v>
      </c>
      <c r="C243" s="82" t="s">
        <v>787</v>
      </c>
      <c r="D243" s="5" t="s">
        <v>631</v>
      </c>
      <c r="E243" s="2">
        <v>3</v>
      </c>
      <c r="F243" s="9" t="s">
        <v>142</v>
      </c>
      <c r="G243" s="5" t="str">
        <f>VLOOKUP('[1]Beban Mengajar'!F234,[1]Dosen!A:B,2)</f>
        <v>Paramita Setyaningrum, S.T., M.T.</v>
      </c>
      <c r="H243" t="s">
        <v>938</v>
      </c>
    </row>
    <row r="244" spans="1:8" hidden="1" x14ac:dyDescent="0.3">
      <c r="A244" s="5" t="s">
        <v>888</v>
      </c>
      <c r="B244" s="95" t="s">
        <v>251</v>
      </c>
      <c r="C244" s="82" t="s">
        <v>788</v>
      </c>
      <c r="D244" s="5" t="s">
        <v>644</v>
      </c>
      <c r="E244" s="2">
        <v>3</v>
      </c>
      <c r="F244" s="9" t="s">
        <v>142</v>
      </c>
      <c r="G244" s="5" t="str">
        <f>VLOOKUP('[1]Beban Mengajar'!F235,[1]Dosen!A:B,2)</f>
        <v>Paramita Setyaningrum, S.T., M.T.</v>
      </c>
      <c r="H244" t="s">
        <v>938</v>
      </c>
    </row>
    <row r="245" spans="1:8" hidden="1" x14ac:dyDescent="0.3">
      <c r="A245" s="5" t="s">
        <v>888</v>
      </c>
      <c r="B245" s="95" t="s">
        <v>251</v>
      </c>
      <c r="C245" s="82" t="s">
        <v>789</v>
      </c>
      <c r="D245" s="5" t="s">
        <v>790</v>
      </c>
      <c r="E245" s="2">
        <v>3</v>
      </c>
      <c r="F245" s="9" t="s">
        <v>2</v>
      </c>
      <c r="G245" s="5" t="str">
        <f>VLOOKUP('[1]Beban Mengajar'!F236,[1]Dosen!A:B,2)</f>
        <v>Azmi Alvian Gabriel, S.TP., M.P.</v>
      </c>
      <c r="H245" t="s">
        <v>938</v>
      </c>
    </row>
    <row r="246" spans="1:8" hidden="1" x14ac:dyDescent="0.3">
      <c r="A246" s="5" t="s">
        <v>888</v>
      </c>
      <c r="B246" s="95" t="s">
        <v>251</v>
      </c>
      <c r="C246" s="82" t="s">
        <v>791</v>
      </c>
      <c r="D246" s="5" t="s">
        <v>623</v>
      </c>
      <c r="E246" s="2">
        <v>3</v>
      </c>
      <c r="F246" s="9" t="s">
        <v>2</v>
      </c>
      <c r="G246" s="5" t="str">
        <f>VLOOKUP('[1]Beban Mengajar'!F237,[1]Dosen!A:B,2)</f>
        <v>Azmi Alvian Gabriel, S.TP., M.P.</v>
      </c>
      <c r="H246" t="s">
        <v>938</v>
      </c>
    </row>
    <row r="247" spans="1:8" hidden="1" x14ac:dyDescent="0.3">
      <c r="A247" s="5" t="s">
        <v>888</v>
      </c>
      <c r="B247" s="95" t="s">
        <v>251</v>
      </c>
      <c r="C247" s="82" t="s">
        <v>1018</v>
      </c>
      <c r="D247" s="5" t="s">
        <v>1019</v>
      </c>
      <c r="E247" s="2">
        <v>3</v>
      </c>
      <c r="F247" s="9" t="s">
        <v>1020</v>
      </c>
      <c r="G247" s="5" t="s">
        <v>1021</v>
      </c>
      <c r="H247" t="s">
        <v>1008</v>
      </c>
    </row>
    <row r="248" spans="1:8" hidden="1" x14ac:dyDescent="0.3">
      <c r="A248" s="5" t="s">
        <v>888</v>
      </c>
      <c r="B248" s="95" t="s">
        <v>251</v>
      </c>
      <c r="C248" s="82" t="s">
        <v>792</v>
      </c>
      <c r="D248" s="5" t="s">
        <v>633</v>
      </c>
      <c r="E248" s="2">
        <v>3</v>
      </c>
      <c r="F248" s="9" t="s">
        <v>195</v>
      </c>
      <c r="G248" s="5" t="str">
        <f>VLOOKUP('[1]Beban Mengajar'!F238,[1]Dosen!A:B,2)</f>
        <v>Yunita Siti Mardhiyyah</v>
      </c>
      <c r="H248" t="s">
        <v>1022</v>
      </c>
    </row>
    <row r="249" spans="1:8" hidden="1" x14ac:dyDescent="0.3">
      <c r="A249" s="5" t="s">
        <v>888</v>
      </c>
      <c r="B249" s="95" t="s">
        <v>250</v>
      </c>
      <c r="C249" s="82" t="s">
        <v>328</v>
      </c>
      <c r="D249" s="5" t="s">
        <v>329</v>
      </c>
      <c r="E249" s="2">
        <v>3</v>
      </c>
      <c r="F249" s="9" t="s">
        <v>20</v>
      </c>
      <c r="G249" s="5" t="str">
        <f>VLOOKUP('[1]Beban Mengajar'!F239,[1]Dosen!A:B,2)</f>
        <v>Ani Rahmat</v>
      </c>
      <c r="H249" t="s">
        <v>937</v>
      </c>
    </row>
    <row r="250" spans="1:8" hidden="1" x14ac:dyDescent="0.3">
      <c r="A250" s="5" t="s">
        <v>888</v>
      </c>
      <c r="B250" s="95" t="s">
        <v>250</v>
      </c>
      <c r="C250" s="82" t="s">
        <v>793</v>
      </c>
      <c r="D250" s="5" t="s">
        <v>794</v>
      </c>
      <c r="E250" s="2">
        <v>3</v>
      </c>
      <c r="F250" s="9" t="s">
        <v>50</v>
      </c>
      <c r="G250" s="5" t="str">
        <f>VLOOKUP('[1]Beban Mengajar'!F240,[1]Dosen!A:B,2)</f>
        <v>Irvan Adhin Cholilie, S.TP., M.P</v>
      </c>
      <c r="H250" t="s">
        <v>938</v>
      </c>
    </row>
    <row r="251" spans="1:8" hidden="1" x14ac:dyDescent="0.3">
      <c r="A251" s="5" t="s">
        <v>888</v>
      </c>
      <c r="B251" s="95" t="s">
        <v>250</v>
      </c>
      <c r="C251" s="82" t="s">
        <v>795</v>
      </c>
      <c r="D251" s="5" t="s">
        <v>796</v>
      </c>
      <c r="E251" s="2">
        <v>3</v>
      </c>
      <c r="F251" s="9" t="s">
        <v>142</v>
      </c>
      <c r="G251" s="5" t="str">
        <f>VLOOKUP('[1]Beban Mengajar'!F241,[1]Dosen!A:B,2)</f>
        <v>Paramita Setyaningrum, S.T., M.T.</v>
      </c>
      <c r="H251" t="s">
        <v>938</v>
      </c>
    </row>
    <row r="252" spans="1:8" hidden="1" x14ac:dyDescent="0.3">
      <c r="A252" s="5" t="s">
        <v>888</v>
      </c>
      <c r="B252" s="95" t="s">
        <v>250</v>
      </c>
      <c r="C252" s="82" t="s">
        <v>797</v>
      </c>
      <c r="D252" s="5" t="s">
        <v>798</v>
      </c>
      <c r="E252" s="2">
        <v>2</v>
      </c>
      <c r="F252" s="9" t="s">
        <v>50</v>
      </c>
      <c r="G252" s="5" t="str">
        <f>VLOOKUP('[1]Beban Mengajar'!F242,[1]Dosen!A:B,2)</f>
        <v>Irvan Adhin Cholilie, S.TP., M.P</v>
      </c>
      <c r="H252" t="s">
        <v>937</v>
      </c>
    </row>
    <row r="253" spans="1:8" hidden="1" x14ac:dyDescent="0.3">
      <c r="A253" s="5" t="s">
        <v>888</v>
      </c>
      <c r="B253" s="95" t="s">
        <v>250</v>
      </c>
      <c r="C253" s="82" t="s">
        <v>1014</v>
      </c>
      <c r="D253" s="5" t="s">
        <v>1015</v>
      </c>
      <c r="E253" s="2">
        <v>3</v>
      </c>
      <c r="F253" s="9" t="s">
        <v>1016</v>
      </c>
      <c r="G253" s="5" t="s">
        <v>1017</v>
      </c>
      <c r="H253" t="s">
        <v>1008</v>
      </c>
    </row>
    <row r="254" spans="1:8" hidden="1" x14ac:dyDescent="0.3">
      <c r="A254" s="5" t="s">
        <v>888</v>
      </c>
      <c r="B254" s="95" t="s">
        <v>250</v>
      </c>
      <c r="C254" s="82" t="s">
        <v>799</v>
      </c>
      <c r="D254" s="5" t="s">
        <v>612</v>
      </c>
      <c r="E254" s="2">
        <v>2</v>
      </c>
      <c r="F254" s="9" t="s">
        <v>195</v>
      </c>
      <c r="G254" s="5" t="str">
        <f>VLOOKUP('[1]Beban Mengajar'!F243,[1]Dosen!A:B,2)</f>
        <v>Yunita Siti Mardhiyyah</v>
      </c>
      <c r="H254" t="s">
        <v>937</v>
      </c>
    </row>
    <row r="255" spans="1:8" hidden="1" x14ac:dyDescent="0.3">
      <c r="A255" s="5" t="s">
        <v>888</v>
      </c>
      <c r="B255" s="95" t="s">
        <v>250</v>
      </c>
      <c r="C255" s="82" t="s">
        <v>800</v>
      </c>
      <c r="D255" s="5" t="s">
        <v>451</v>
      </c>
      <c r="E255" s="2">
        <v>3</v>
      </c>
      <c r="F255" s="9" t="s">
        <v>142</v>
      </c>
      <c r="G255" s="5" t="str">
        <f>VLOOKUP('[1]Beban Mengajar'!F244,[1]Dosen!A:B,2)</f>
        <v>Paramita Setyaningrum, S.T., M.T.</v>
      </c>
      <c r="H255" t="s">
        <v>938</v>
      </c>
    </row>
    <row r="256" spans="1:8" hidden="1" x14ac:dyDescent="0.3">
      <c r="A256" s="5" t="s">
        <v>888</v>
      </c>
      <c r="B256" s="95" t="s">
        <v>658</v>
      </c>
      <c r="C256" s="82" t="s">
        <v>802</v>
      </c>
      <c r="D256" s="5" t="s">
        <v>604</v>
      </c>
      <c r="E256" s="2">
        <v>3</v>
      </c>
      <c r="F256" s="9" t="s">
        <v>142</v>
      </c>
      <c r="G256" s="5" t="str">
        <f>VLOOKUP('[1]Beban Mengajar'!F246,[1]Dosen!A:B,2)</f>
        <v>Paramita Setyaningrum, S.T., M.T.</v>
      </c>
      <c r="H256" t="s">
        <v>937</v>
      </c>
    </row>
    <row r="257" spans="1:8" hidden="1" x14ac:dyDescent="0.3">
      <c r="A257" s="5" t="s">
        <v>888</v>
      </c>
      <c r="B257" s="95" t="s">
        <v>658</v>
      </c>
      <c r="C257" s="82" t="s">
        <v>803</v>
      </c>
      <c r="D257" s="5" t="s">
        <v>625</v>
      </c>
      <c r="E257" s="2">
        <v>3</v>
      </c>
      <c r="F257" s="9" t="s">
        <v>2</v>
      </c>
      <c r="G257" s="5" t="str">
        <f>VLOOKUP('[1]Beban Mengajar'!F247,[1]Dosen!A:B,2)</f>
        <v>Azmi Alvian Gabriel, S.TP., M.P.</v>
      </c>
      <c r="H257" t="s">
        <v>938</v>
      </c>
    </row>
    <row r="258" spans="1:8" hidden="1" x14ac:dyDescent="0.3">
      <c r="A258" s="5" t="s">
        <v>888</v>
      </c>
      <c r="B258" s="95" t="s">
        <v>658</v>
      </c>
      <c r="C258" s="82" t="s">
        <v>804</v>
      </c>
      <c r="D258" s="5" t="s">
        <v>409</v>
      </c>
      <c r="E258" s="2">
        <v>2</v>
      </c>
      <c r="F258" s="9" t="s">
        <v>2</v>
      </c>
      <c r="G258" s="5" t="str">
        <f>VLOOKUP('[1]Beban Mengajar'!F248,[1]Dosen!A:B,2)</f>
        <v>Azmi Alvian Gabriel, S.TP., M.P.</v>
      </c>
      <c r="H258" t="s">
        <v>938</v>
      </c>
    </row>
    <row r="259" spans="1:8" hidden="1" x14ac:dyDescent="0.3">
      <c r="A259" s="5" t="s">
        <v>888</v>
      </c>
      <c r="B259" s="95" t="s">
        <v>253</v>
      </c>
      <c r="C259" s="82" t="s">
        <v>805</v>
      </c>
      <c r="D259" s="5" t="s">
        <v>806</v>
      </c>
      <c r="E259" s="2">
        <v>3</v>
      </c>
      <c r="F259" s="9" t="s">
        <v>689</v>
      </c>
      <c r="G259" s="5" t="str">
        <f>VLOOKUP('[1]Beban Mengajar'!F249,[1]Dosen!A:B,2)</f>
        <v>Dyah Satiti</v>
      </c>
      <c r="H259" t="s">
        <v>937</v>
      </c>
    </row>
    <row r="260" spans="1:8" hidden="1" x14ac:dyDescent="0.3">
      <c r="A260" s="5" t="s">
        <v>888</v>
      </c>
      <c r="B260" s="95" t="s">
        <v>253</v>
      </c>
      <c r="C260" s="82" t="s">
        <v>807</v>
      </c>
      <c r="D260" s="5" t="s">
        <v>808</v>
      </c>
      <c r="E260" s="2">
        <v>3</v>
      </c>
      <c r="F260" s="9" t="s">
        <v>689</v>
      </c>
      <c r="G260" s="5" t="str">
        <f>VLOOKUP('[1]Beban Mengajar'!F250,[1]Dosen!A:B,2)</f>
        <v>Dyah Satiti</v>
      </c>
      <c r="H260" t="s">
        <v>938</v>
      </c>
    </row>
    <row r="261" spans="1:8" hidden="1" x14ac:dyDescent="0.3">
      <c r="A261" s="5" t="s">
        <v>888</v>
      </c>
      <c r="B261" s="95" t="s">
        <v>253</v>
      </c>
      <c r="C261" s="82" t="s">
        <v>807</v>
      </c>
      <c r="D261" s="5" t="s">
        <v>809</v>
      </c>
      <c r="E261" s="2">
        <v>3</v>
      </c>
      <c r="F261" s="9" t="s">
        <v>689</v>
      </c>
      <c r="G261" s="5" t="str">
        <f>VLOOKUP('[1]Beban Mengajar'!F251,[1]Dosen!A:B,2)</f>
        <v>Dyah Satiti</v>
      </c>
      <c r="H261" t="s">
        <v>938</v>
      </c>
    </row>
    <row r="262" spans="1:8" hidden="1" x14ac:dyDescent="0.3">
      <c r="A262" s="5" t="s">
        <v>891</v>
      </c>
      <c r="B262" s="58" t="s">
        <v>210</v>
      </c>
      <c r="C262" s="82" t="s">
        <v>503</v>
      </c>
      <c r="D262" s="5" t="s">
        <v>504</v>
      </c>
      <c r="E262" s="2">
        <v>3</v>
      </c>
      <c r="F262" s="9" t="s">
        <v>111</v>
      </c>
      <c r="G262" s="5" t="str">
        <f>VLOOKUP('[1]Beban Mengajar'!F252,[1]Dosen!A:B,2)</f>
        <v>Mohammad Arif Rasyidi, S.Kom., M.Sc.</v>
      </c>
      <c r="H262" t="s">
        <v>914</v>
      </c>
    </row>
    <row r="263" spans="1:8" hidden="1" x14ac:dyDescent="0.3">
      <c r="A263" s="5" t="s">
        <v>891</v>
      </c>
      <c r="B263" s="58" t="s">
        <v>210</v>
      </c>
      <c r="C263" s="82" t="s">
        <v>511</v>
      </c>
      <c r="D263" s="5" t="s">
        <v>483</v>
      </c>
      <c r="E263" s="2">
        <v>3</v>
      </c>
      <c r="F263" s="9" t="s">
        <v>131</v>
      </c>
      <c r="G263" s="5" t="str">
        <f>VLOOKUP('[1]Beban Mengajar'!F253,[1]Dosen!A:B,2)</f>
        <v>Ngatini</v>
      </c>
      <c r="H263" t="s">
        <v>938</v>
      </c>
    </row>
    <row r="264" spans="1:8" hidden="1" x14ac:dyDescent="0.3">
      <c r="A264" s="5" t="s">
        <v>891</v>
      </c>
      <c r="B264" s="58" t="s">
        <v>210</v>
      </c>
      <c r="C264" s="82" t="s">
        <v>500</v>
      </c>
      <c r="D264" s="5" t="s">
        <v>455</v>
      </c>
      <c r="E264" s="2">
        <v>3</v>
      </c>
      <c r="F264" s="9" t="s">
        <v>140</v>
      </c>
      <c r="G264" s="5" t="str">
        <f>VLOOKUP('[1]Beban Mengajar'!F254,[1]Dosen!A:B,2)</f>
        <v>Puji Andayani, S.Si., M.Si., M.Sc.</v>
      </c>
      <c r="H264" t="s">
        <v>938</v>
      </c>
    </row>
    <row r="265" spans="1:8" hidden="1" x14ac:dyDescent="0.3">
      <c r="A265" s="5" t="s">
        <v>891</v>
      </c>
      <c r="B265" s="58" t="s">
        <v>210</v>
      </c>
      <c r="C265" s="82" t="s">
        <v>515</v>
      </c>
      <c r="D265" s="5" t="s">
        <v>516</v>
      </c>
      <c r="E265" s="2">
        <v>3</v>
      </c>
      <c r="F265" s="9" t="s">
        <v>32</v>
      </c>
      <c r="G265" s="5" t="str">
        <f>VLOOKUP('[1]Beban Mengajar'!F255,[1]Dosen!A:B,2)</f>
        <v>Doni Setio Pambudi, S.Kom. M.Kom</v>
      </c>
      <c r="H265" t="s">
        <v>938</v>
      </c>
    </row>
    <row r="266" spans="1:8" hidden="1" x14ac:dyDescent="0.3">
      <c r="A266" s="5" t="s">
        <v>891</v>
      </c>
      <c r="B266" s="58" t="s">
        <v>210</v>
      </c>
      <c r="C266" s="82" t="s">
        <v>383</v>
      </c>
      <c r="D266" s="5" t="s">
        <v>384</v>
      </c>
      <c r="E266" s="2">
        <v>2</v>
      </c>
      <c r="F266" s="9" t="s">
        <v>148</v>
      </c>
      <c r="G266" s="5" t="str">
        <f>VLOOKUP('[1]Beban Mengajar'!F256,[1]Dosen!A:B,2)</f>
        <v>Ruktin Handayani, S.Kom., M.Kom.</v>
      </c>
      <c r="H266" t="s">
        <v>938</v>
      </c>
    </row>
    <row r="267" spans="1:8" hidden="1" x14ac:dyDescent="0.3">
      <c r="A267" s="5" t="s">
        <v>891</v>
      </c>
      <c r="B267" s="81" t="s">
        <v>212</v>
      </c>
      <c r="C267" s="82" t="s">
        <v>513</v>
      </c>
      <c r="D267" s="5" t="s">
        <v>514</v>
      </c>
      <c r="E267" s="2">
        <v>4</v>
      </c>
      <c r="F267" s="9" t="s">
        <v>103</v>
      </c>
      <c r="G267" s="5" t="str">
        <f>VLOOKUP('[1]Beban Mengajar'!F257,[1]Dosen!A:B,2)</f>
        <v>Lailatul Hidayah, S.Kom., MS.</v>
      </c>
      <c r="H267" t="s">
        <v>914</v>
      </c>
    </row>
    <row r="268" spans="1:8" hidden="1" x14ac:dyDescent="0.3">
      <c r="A268" s="5" t="s">
        <v>891</v>
      </c>
      <c r="B268" s="81" t="s">
        <v>212</v>
      </c>
      <c r="C268" s="82" t="s">
        <v>512</v>
      </c>
      <c r="D268" s="5" t="s">
        <v>685</v>
      </c>
      <c r="E268" s="2">
        <v>3</v>
      </c>
      <c r="F268" s="9" t="s">
        <v>111</v>
      </c>
      <c r="G268" s="5" t="str">
        <f>VLOOKUP('[1]Beban Mengajar'!F258,[1]Dosen!A:B,2)</f>
        <v>Mohammad Arif Rasyidi, S.Kom., M.Sc.</v>
      </c>
      <c r="H268" t="s">
        <v>914</v>
      </c>
    </row>
    <row r="269" spans="1:8" hidden="1" x14ac:dyDescent="0.3">
      <c r="A269" s="5" t="s">
        <v>891</v>
      </c>
      <c r="B269" s="81" t="s">
        <v>212</v>
      </c>
      <c r="C269" s="82" t="s">
        <v>523</v>
      </c>
      <c r="D269" s="5" t="s">
        <v>524</v>
      </c>
      <c r="E269" s="2">
        <v>3</v>
      </c>
      <c r="F269" s="9" t="s">
        <v>26</v>
      </c>
      <c r="G269" s="5" t="str">
        <f>VLOOKUP('[1]Beban Mengajar'!F259,[1]Dosen!A:B,2)</f>
        <v>Brina Miftahurrohmah, S.Si., M.Si</v>
      </c>
      <c r="H269" t="s">
        <v>938</v>
      </c>
    </row>
    <row r="270" spans="1:8" hidden="1" x14ac:dyDescent="0.3">
      <c r="A270" s="5" t="s">
        <v>891</v>
      </c>
      <c r="B270" s="81" t="s">
        <v>212</v>
      </c>
      <c r="C270" s="82" t="s">
        <v>519</v>
      </c>
      <c r="D270" s="5" t="s">
        <v>520</v>
      </c>
      <c r="E270" s="2">
        <v>3</v>
      </c>
      <c r="F270" s="9" t="s">
        <v>172</v>
      </c>
      <c r="G270" s="5" t="str">
        <f>VLOOKUP('[1]Beban Mengajar'!F260,[1]Dosen!A:B,2)</f>
        <v>Taufiqotul Bariyah S.Kom., M.IM</v>
      </c>
      <c r="H270" t="s">
        <v>938</v>
      </c>
    </row>
    <row r="271" spans="1:8" hidden="1" x14ac:dyDescent="0.3">
      <c r="A271" s="5" t="s">
        <v>891</v>
      </c>
      <c r="B271" s="81" t="s">
        <v>212</v>
      </c>
      <c r="C271" s="82" t="s">
        <v>496</v>
      </c>
      <c r="D271" s="5" t="s">
        <v>810</v>
      </c>
      <c r="E271" s="2">
        <v>4</v>
      </c>
      <c r="F271" s="9" t="s">
        <v>187</v>
      </c>
      <c r="G271" s="5" t="str">
        <f>VLOOKUP('[1]Beban Mengajar'!F261,[1]Dosen!A:B,2)</f>
        <v>Yohanes Indra Riskajaya, S.Kom., M.Kom</v>
      </c>
      <c r="H271" t="s">
        <v>914</v>
      </c>
    </row>
    <row r="272" spans="1:8" hidden="1" x14ac:dyDescent="0.3">
      <c r="A272" s="5" t="s">
        <v>891</v>
      </c>
      <c r="B272" s="81" t="s">
        <v>214</v>
      </c>
      <c r="C272" s="82" t="s">
        <v>497</v>
      </c>
      <c r="D272" s="5" t="s">
        <v>498</v>
      </c>
      <c r="E272" s="2">
        <v>3</v>
      </c>
      <c r="F272" s="9" t="s">
        <v>172</v>
      </c>
      <c r="G272" s="5" t="str">
        <f>VLOOKUP('[1]Beban Mengajar'!F262,[1]Dosen!A:B,2)</f>
        <v>Taufiqotul Bariyah S.Kom., M.IM</v>
      </c>
      <c r="H272" t="s">
        <v>938</v>
      </c>
    </row>
    <row r="273" spans="1:8" hidden="1" x14ac:dyDescent="0.3">
      <c r="A273" s="5" t="s">
        <v>891</v>
      </c>
      <c r="B273" s="81" t="s">
        <v>214</v>
      </c>
      <c r="C273" s="82" t="s">
        <v>507</v>
      </c>
      <c r="D273" s="5" t="s">
        <v>508</v>
      </c>
      <c r="E273" s="2">
        <v>3</v>
      </c>
      <c r="F273" s="9" t="s">
        <v>103</v>
      </c>
      <c r="G273" s="5" t="str">
        <f>VLOOKUP('[1]Beban Mengajar'!F263,[1]Dosen!A:B,2)</f>
        <v>Lailatul Hidayah, S.Kom., MS.</v>
      </c>
      <c r="H273" t="s">
        <v>914</v>
      </c>
    </row>
    <row r="274" spans="1:8" hidden="1" x14ac:dyDescent="0.3">
      <c r="A274" s="5" t="s">
        <v>891</v>
      </c>
      <c r="B274" s="81" t="s">
        <v>214</v>
      </c>
      <c r="C274" s="82" t="s">
        <v>499</v>
      </c>
      <c r="D274" s="5" t="s">
        <v>811</v>
      </c>
      <c r="E274" s="2">
        <v>3</v>
      </c>
      <c r="F274" s="9" t="s">
        <v>32</v>
      </c>
      <c r="G274" s="5" t="str">
        <f>VLOOKUP('[1]Beban Mengajar'!F264,[1]Dosen!A:B,2)</f>
        <v>Doni Setio Pambudi, S.Kom. M.Kom</v>
      </c>
      <c r="H274" t="s">
        <v>938</v>
      </c>
    </row>
    <row r="275" spans="1:8" hidden="1" x14ac:dyDescent="0.3">
      <c r="A275" s="5" t="s">
        <v>891</v>
      </c>
      <c r="B275" s="81" t="s">
        <v>214</v>
      </c>
      <c r="C275" s="82" t="s">
        <v>501</v>
      </c>
      <c r="D275" s="5" t="s">
        <v>812</v>
      </c>
      <c r="E275" s="2">
        <v>3</v>
      </c>
      <c r="F275" s="9" t="s">
        <v>187</v>
      </c>
      <c r="G275" s="5" t="str">
        <f>VLOOKUP('[1]Beban Mengajar'!F265,[1]Dosen!A:B,2)</f>
        <v>Yohanes Indra Riskajaya, S.Kom., M.Kom</v>
      </c>
      <c r="H275" t="s">
        <v>938</v>
      </c>
    </row>
    <row r="276" spans="1:8" hidden="1" x14ac:dyDescent="0.3">
      <c r="A276" s="5" t="s">
        <v>891</v>
      </c>
      <c r="B276" s="81" t="s">
        <v>214</v>
      </c>
      <c r="C276" s="82" t="s">
        <v>509</v>
      </c>
      <c r="D276" s="5" t="s">
        <v>510</v>
      </c>
      <c r="E276" s="2">
        <v>3</v>
      </c>
      <c r="F276" s="9" t="s">
        <v>148</v>
      </c>
      <c r="G276" s="5" t="str">
        <f>VLOOKUP('[1]Beban Mengajar'!F266,[1]Dosen!A:B,2)</f>
        <v>Ruktin Handayani, S.Kom., M.Kom.</v>
      </c>
      <c r="H276" t="s">
        <v>938</v>
      </c>
    </row>
    <row r="277" spans="1:8" hidden="1" x14ac:dyDescent="0.3">
      <c r="A277" s="5" t="s">
        <v>891</v>
      </c>
      <c r="B277" s="81" t="s">
        <v>214</v>
      </c>
      <c r="C277" s="82" t="s">
        <v>505</v>
      </c>
      <c r="D277" s="5" t="s">
        <v>506</v>
      </c>
      <c r="E277" s="2">
        <v>3</v>
      </c>
      <c r="F277" s="9" t="s">
        <v>111</v>
      </c>
      <c r="G277" s="5" t="str">
        <f>VLOOKUP('[1]Beban Mengajar'!F267,[1]Dosen!A:B,2)</f>
        <v>Mohammad Arif Rasyidi, S.Kom., M.Sc.</v>
      </c>
      <c r="H277" t="s">
        <v>914</v>
      </c>
    </row>
    <row r="278" spans="1:8" hidden="1" x14ac:dyDescent="0.3">
      <c r="A278" s="5" t="s">
        <v>891</v>
      </c>
      <c r="B278" s="81" t="s">
        <v>650</v>
      </c>
      <c r="C278" s="82" t="s">
        <v>521</v>
      </c>
      <c r="D278" s="5" t="s">
        <v>522</v>
      </c>
      <c r="E278" s="2">
        <v>3</v>
      </c>
      <c r="F278" s="9" t="s">
        <v>172</v>
      </c>
      <c r="G278" s="5" t="str">
        <f>VLOOKUP('[1]Beban Mengajar'!F268,[1]Dosen!A:B,2)</f>
        <v>Taufiqotul Bariyah S.Kom., M.IM</v>
      </c>
      <c r="H278" t="s">
        <v>938</v>
      </c>
    </row>
    <row r="279" spans="1:8" hidden="1" x14ac:dyDescent="0.3">
      <c r="A279" s="5" t="s">
        <v>891</v>
      </c>
      <c r="B279" s="81" t="s">
        <v>650</v>
      </c>
      <c r="C279" s="82" t="s">
        <v>517</v>
      </c>
      <c r="D279" s="5" t="s">
        <v>518</v>
      </c>
      <c r="E279" s="2">
        <v>3</v>
      </c>
      <c r="F279" s="9" t="s">
        <v>193</v>
      </c>
      <c r="G279" s="5" t="str">
        <f>VLOOKUP('[1]Beban Mengajar'!F269,[1]Dosen!A:B,2)</f>
        <v>Yogantara Setya Dharmawan, S.Kom., M.Sc</v>
      </c>
      <c r="H279" t="s">
        <v>938</v>
      </c>
    </row>
    <row r="280" spans="1:8" hidden="1" x14ac:dyDescent="0.3">
      <c r="A280" s="5" t="s">
        <v>891</v>
      </c>
      <c r="B280" s="58" t="s">
        <v>895</v>
      </c>
      <c r="C280" s="82" t="s">
        <v>814</v>
      </c>
      <c r="D280" s="5" t="s">
        <v>815</v>
      </c>
      <c r="E280" s="2">
        <v>3</v>
      </c>
      <c r="F280" s="9" t="s">
        <v>172</v>
      </c>
      <c r="G280" s="5" t="str">
        <f>VLOOKUP('[1]Beban Mengajar'!F270,[1]Dosen!A:B,2)</f>
        <v>Taufiqotul Bariyah S.Kom., M.IM</v>
      </c>
      <c r="H280" t="s">
        <v>938</v>
      </c>
    </row>
    <row r="281" spans="1:8" hidden="1" x14ac:dyDescent="0.3">
      <c r="A281" s="5" t="s">
        <v>891</v>
      </c>
      <c r="B281" s="58" t="s">
        <v>650</v>
      </c>
      <c r="C281" s="82" t="s">
        <v>816</v>
      </c>
      <c r="D281" s="5" t="s">
        <v>817</v>
      </c>
      <c r="E281" s="2">
        <v>3</v>
      </c>
      <c r="F281" s="9" t="s">
        <v>103</v>
      </c>
      <c r="G281" s="5" t="str">
        <f>VLOOKUP('[1]Beban Mengajar'!F271,[1]Dosen!A:B,2)</f>
        <v>Lailatul Hidayah, S.Kom., MS.</v>
      </c>
      <c r="H281" t="s">
        <v>938</v>
      </c>
    </row>
    <row r="282" spans="1:8" hidden="1" x14ac:dyDescent="0.3">
      <c r="A282" s="5" t="s">
        <v>891</v>
      </c>
      <c r="B282" s="58" t="s">
        <v>650</v>
      </c>
      <c r="C282" s="82" t="s">
        <v>525</v>
      </c>
      <c r="D282" s="5" t="s">
        <v>526</v>
      </c>
      <c r="E282" s="2">
        <v>3</v>
      </c>
      <c r="F282" s="9" t="s">
        <v>32</v>
      </c>
      <c r="G282" s="5" t="str">
        <f>VLOOKUP('[1]Beban Mengajar'!F272,[1]Dosen!A:B,2)</f>
        <v>Doni Setio Pambudi, S.Kom. M.Kom</v>
      </c>
      <c r="H282" t="s">
        <v>938</v>
      </c>
    </row>
    <row r="283" spans="1:8" hidden="1" x14ac:dyDescent="0.3">
      <c r="A283" s="5" t="s">
        <v>891</v>
      </c>
      <c r="B283" s="58" t="s">
        <v>650</v>
      </c>
      <c r="C283" s="82" t="s">
        <v>818</v>
      </c>
      <c r="D283" s="5" t="s">
        <v>819</v>
      </c>
      <c r="E283" s="2">
        <v>3</v>
      </c>
      <c r="F283" s="9" t="s">
        <v>32</v>
      </c>
      <c r="G283" s="5" t="str">
        <f>VLOOKUP('[1]Beban Mengajar'!F273,[1]Dosen!A:B,2)</f>
        <v>Doni Setio Pambudi, S.Kom. M.Kom</v>
      </c>
      <c r="H283" t="s">
        <v>938</v>
      </c>
    </row>
    <row r="284" spans="1:8" hidden="1" x14ac:dyDescent="0.3">
      <c r="A284" s="5" t="s">
        <v>891</v>
      </c>
      <c r="B284" s="58" t="s">
        <v>211</v>
      </c>
      <c r="C284" s="82" t="s">
        <v>503</v>
      </c>
      <c r="D284" s="5" t="s">
        <v>504</v>
      </c>
      <c r="E284" s="2">
        <v>3</v>
      </c>
      <c r="F284" s="9" t="s">
        <v>111</v>
      </c>
      <c r="G284" s="5" t="str">
        <f>VLOOKUP('[1]Beban Mengajar'!F274,[1]Dosen!A:B,2)</f>
        <v>Mohammad Arif Rasyidi, S.Kom., M.Sc.</v>
      </c>
      <c r="H284" t="s">
        <v>914</v>
      </c>
    </row>
    <row r="285" spans="1:8" hidden="1" x14ac:dyDescent="0.3">
      <c r="A285" s="5" t="s">
        <v>891</v>
      </c>
      <c r="B285" s="58" t="s">
        <v>211</v>
      </c>
      <c r="C285" s="82" t="s">
        <v>511</v>
      </c>
      <c r="D285" s="5" t="s">
        <v>483</v>
      </c>
      <c r="E285" s="2">
        <v>3</v>
      </c>
      <c r="F285" s="9" t="s">
        <v>131</v>
      </c>
      <c r="G285" s="5" t="str">
        <f>VLOOKUP('[1]Beban Mengajar'!F275,[1]Dosen!A:B,2)</f>
        <v>Ngatini</v>
      </c>
      <c r="H285" t="s">
        <v>938</v>
      </c>
    </row>
    <row r="286" spans="1:8" hidden="1" x14ac:dyDescent="0.3">
      <c r="A286" s="5" t="s">
        <v>891</v>
      </c>
      <c r="B286" s="58" t="s">
        <v>211</v>
      </c>
      <c r="C286" s="82" t="s">
        <v>500</v>
      </c>
      <c r="D286" s="5" t="s">
        <v>455</v>
      </c>
      <c r="E286" s="2">
        <v>3</v>
      </c>
      <c r="F286" s="9" t="s">
        <v>140</v>
      </c>
      <c r="G286" s="5" t="str">
        <f>VLOOKUP('[1]Beban Mengajar'!F276,[1]Dosen!A:B,2)</f>
        <v>Puji Andayani, S.Si., M.Si., M.Sc.</v>
      </c>
      <c r="H286" t="s">
        <v>938</v>
      </c>
    </row>
    <row r="287" spans="1:8" hidden="1" x14ac:dyDescent="0.3">
      <c r="A287" s="5" t="s">
        <v>891</v>
      </c>
      <c r="B287" s="58" t="s">
        <v>211</v>
      </c>
      <c r="C287" s="82" t="s">
        <v>515</v>
      </c>
      <c r="D287" s="5" t="s">
        <v>516</v>
      </c>
      <c r="E287" s="2">
        <v>3</v>
      </c>
      <c r="F287" s="9" t="s">
        <v>32</v>
      </c>
      <c r="G287" s="5" t="str">
        <f>VLOOKUP('[1]Beban Mengajar'!F277,[1]Dosen!A:B,2)</f>
        <v>Doni Setio Pambudi, S.Kom. M.Kom</v>
      </c>
      <c r="H287" t="s">
        <v>938</v>
      </c>
    </row>
    <row r="288" spans="1:8" hidden="1" x14ac:dyDescent="0.3">
      <c r="A288" s="5" t="s">
        <v>891</v>
      </c>
      <c r="B288" s="58" t="s">
        <v>211</v>
      </c>
      <c r="C288" s="82" t="s">
        <v>383</v>
      </c>
      <c r="D288" s="5" t="s">
        <v>384</v>
      </c>
      <c r="E288" s="2">
        <v>2</v>
      </c>
      <c r="F288" s="9" t="s">
        <v>148</v>
      </c>
      <c r="G288" s="5" t="str">
        <f>VLOOKUP('[1]Beban Mengajar'!F278,[1]Dosen!A:B,2)</f>
        <v>Ruktin Handayani, S.Kom., M.Kom.</v>
      </c>
      <c r="H288" t="s">
        <v>938</v>
      </c>
    </row>
    <row r="289" spans="1:8" hidden="1" x14ac:dyDescent="0.3">
      <c r="A289" s="5" t="s">
        <v>891</v>
      </c>
      <c r="B289" s="81" t="s">
        <v>213</v>
      </c>
      <c r="C289" s="82" t="s">
        <v>513</v>
      </c>
      <c r="D289" s="5" t="s">
        <v>514</v>
      </c>
      <c r="E289" s="2">
        <v>4</v>
      </c>
      <c r="F289" s="9" t="s">
        <v>103</v>
      </c>
      <c r="G289" s="5" t="str">
        <f>VLOOKUP('[1]Beban Mengajar'!F279,[1]Dosen!A:B,2)</f>
        <v>Lailatul Hidayah, S.Kom., MS.</v>
      </c>
      <c r="H289" t="s">
        <v>914</v>
      </c>
    </row>
    <row r="290" spans="1:8" hidden="1" x14ac:dyDescent="0.3">
      <c r="A290" s="5" t="s">
        <v>891</v>
      </c>
      <c r="B290" s="81" t="s">
        <v>213</v>
      </c>
      <c r="C290" s="82" t="s">
        <v>512</v>
      </c>
      <c r="D290" s="5" t="s">
        <v>685</v>
      </c>
      <c r="E290" s="2">
        <v>3</v>
      </c>
      <c r="F290" s="9" t="s">
        <v>111</v>
      </c>
      <c r="G290" s="5" t="str">
        <f>VLOOKUP('[1]Beban Mengajar'!F280,[1]Dosen!A:B,2)</f>
        <v>Mohammad Arif Rasyidi, S.Kom., M.Sc.</v>
      </c>
      <c r="H290" t="s">
        <v>914</v>
      </c>
    </row>
    <row r="291" spans="1:8" hidden="1" x14ac:dyDescent="0.3">
      <c r="A291" s="5" t="s">
        <v>891</v>
      </c>
      <c r="B291" s="81" t="s">
        <v>213</v>
      </c>
      <c r="C291" s="82" t="s">
        <v>523</v>
      </c>
      <c r="D291" s="5" t="s">
        <v>524</v>
      </c>
      <c r="E291" s="2">
        <v>3</v>
      </c>
      <c r="F291" s="9" t="s">
        <v>131</v>
      </c>
      <c r="G291" s="5" t="str">
        <f>VLOOKUP('[1]Beban Mengajar'!F281,[1]Dosen!A:B,2)</f>
        <v>Ngatini</v>
      </c>
      <c r="H291" t="s">
        <v>938</v>
      </c>
    </row>
    <row r="292" spans="1:8" hidden="1" x14ac:dyDescent="0.3">
      <c r="A292" s="5" t="s">
        <v>891</v>
      </c>
      <c r="B292" s="81" t="s">
        <v>213</v>
      </c>
      <c r="C292" s="82" t="s">
        <v>519</v>
      </c>
      <c r="D292" s="5" t="s">
        <v>520</v>
      </c>
      <c r="E292" s="2">
        <v>3</v>
      </c>
      <c r="F292" s="9" t="s">
        <v>172</v>
      </c>
      <c r="G292" s="5" t="str">
        <f>VLOOKUP('[1]Beban Mengajar'!F282,[1]Dosen!A:B,2)</f>
        <v>Taufiqotul Bariyah S.Kom., M.IM</v>
      </c>
      <c r="H292" t="s">
        <v>938</v>
      </c>
    </row>
    <row r="293" spans="1:8" hidden="1" x14ac:dyDescent="0.3">
      <c r="A293" s="5" t="s">
        <v>891</v>
      </c>
      <c r="B293" s="81" t="s">
        <v>213</v>
      </c>
      <c r="C293" s="82" t="s">
        <v>496</v>
      </c>
      <c r="D293" s="5" t="s">
        <v>810</v>
      </c>
      <c r="E293" s="2">
        <v>4</v>
      </c>
      <c r="F293" s="9" t="s">
        <v>187</v>
      </c>
      <c r="G293" s="5" t="str">
        <f>VLOOKUP('[1]Beban Mengajar'!F283,[1]Dosen!A:B,2)</f>
        <v>Yohanes Indra Riskajaya, S.Kom., M.Kom</v>
      </c>
      <c r="H293" t="s">
        <v>914</v>
      </c>
    </row>
    <row r="294" spans="1:8" hidden="1" x14ac:dyDescent="0.3">
      <c r="A294" s="5" t="s">
        <v>891</v>
      </c>
      <c r="B294" s="81" t="s">
        <v>215</v>
      </c>
      <c r="C294" s="82" t="s">
        <v>497</v>
      </c>
      <c r="D294" s="5" t="s">
        <v>498</v>
      </c>
      <c r="E294" s="2">
        <v>3</v>
      </c>
      <c r="F294" s="9" t="s">
        <v>172</v>
      </c>
      <c r="G294" s="5" t="str">
        <f>VLOOKUP('[1]Beban Mengajar'!F284,[1]Dosen!A:B,2)</f>
        <v>Taufiqotul Bariyah S.Kom., M.IM</v>
      </c>
      <c r="H294" t="s">
        <v>938</v>
      </c>
    </row>
    <row r="295" spans="1:8" hidden="1" x14ac:dyDescent="0.3">
      <c r="A295" s="5" t="s">
        <v>891</v>
      </c>
      <c r="B295" s="81" t="s">
        <v>215</v>
      </c>
      <c r="C295" s="82" t="s">
        <v>507</v>
      </c>
      <c r="D295" s="5" t="s">
        <v>508</v>
      </c>
      <c r="E295" s="2">
        <v>3</v>
      </c>
      <c r="F295" s="9" t="s">
        <v>103</v>
      </c>
      <c r="G295" s="5" t="str">
        <f>VLOOKUP('[1]Beban Mengajar'!F285,[1]Dosen!A:B,2)</f>
        <v>Lailatul Hidayah, S.Kom., MS.</v>
      </c>
      <c r="H295" t="s">
        <v>914</v>
      </c>
    </row>
    <row r="296" spans="1:8" hidden="1" x14ac:dyDescent="0.3">
      <c r="A296" s="5" t="s">
        <v>891</v>
      </c>
      <c r="B296" s="81" t="s">
        <v>215</v>
      </c>
      <c r="C296" s="82" t="s">
        <v>499</v>
      </c>
      <c r="D296" s="5" t="s">
        <v>811</v>
      </c>
      <c r="E296" s="2">
        <v>3</v>
      </c>
      <c r="F296" s="9" t="s">
        <v>32</v>
      </c>
      <c r="G296" s="5" t="str">
        <f>VLOOKUP('[1]Beban Mengajar'!F286,[1]Dosen!A:B,2)</f>
        <v>Doni Setio Pambudi, S.Kom. M.Kom</v>
      </c>
      <c r="H296" t="s">
        <v>938</v>
      </c>
    </row>
    <row r="297" spans="1:8" hidden="1" x14ac:dyDescent="0.3">
      <c r="A297" s="5" t="s">
        <v>891</v>
      </c>
      <c r="B297" s="81" t="s">
        <v>215</v>
      </c>
      <c r="C297" s="82" t="s">
        <v>501</v>
      </c>
      <c r="D297" s="5" t="s">
        <v>812</v>
      </c>
      <c r="E297" s="2">
        <v>3</v>
      </c>
      <c r="F297" s="9" t="s">
        <v>187</v>
      </c>
      <c r="G297" s="5" t="str">
        <f>VLOOKUP('[1]Beban Mengajar'!F287,[1]Dosen!A:B,2)</f>
        <v>Yohanes Indra Riskajaya, S.Kom., M.Kom</v>
      </c>
      <c r="H297" t="s">
        <v>938</v>
      </c>
    </row>
    <row r="298" spans="1:8" hidden="1" x14ac:dyDescent="0.3">
      <c r="A298" s="5" t="s">
        <v>891</v>
      </c>
      <c r="B298" s="81" t="s">
        <v>215</v>
      </c>
      <c r="C298" s="82" t="s">
        <v>509</v>
      </c>
      <c r="D298" s="5" t="s">
        <v>510</v>
      </c>
      <c r="E298" s="2">
        <v>3</v>
      </c>
      <c r="F298" s="9" t="s">
        <v>148</v>
      </c>
      <c r="G298" s="5" t="str">
        <f>VLOOKUP('[1]Beban Mengajar'!F288,[1]Dosen!A:B,2)</f>
        <v>Ruktin Handayani, S.Kom., M.Kom.</v>
      </c>
      <c r="H298" t="s">
        <v>938</v>
      </c>
    </row>
    <row r="299" spans="1:8" hidden="1" x14ac:dyDescent="0.3">
      <c r="A299" s="5" t="s">
        <v>891</v>
      </c>
      <c r="B299" s="81" t="s">
        <v>215</v>
      </c>
      <c r="C299" s="82" t="s">
        <v>505</v>
      </c>
      <c r="D299" s="5" t="s">
        <v>506</v>
      </c>
      <c r="E299" s="2">
        <v>3</v>
      </c>
      <c r="F299" s="9" t="s">
        <v>111</v>
      </c>
      <c r="G299" s="5" t="str">
        <f>VLOOKUP('[1]Beban Mengajar'!F289,[1]Dosen!A:B,2)</f>
        <v>Mohammad Arif Rasyidi, S.Kom., M.Sc.</v>
      </c>
      <c r="H299" t="s">
        <v>914</v>
      </c>
    </row>
    <row r="300" spans="1:8" hidden="1" x14ac:dyDescent="0.3">
      <c r="A300" s="5" t="s">
        <v>670</v>
      </c>
      <c r="B300" s="58" t="s">
        <v>234</v>
      </c>
      <c r="C300" s="96" t="s">
        <v>383</v>
      </c>
      <c r="D300" s="69" t="s">
        <v>820</v>
      </c>
      <c r="E300" s="47">
        <v>2</v>
      </c>
      <c r="F300" s="9" t="s">
        <v>26</v>
      </c>
      <c r="G300" s="5" t="str">
        <f>VLOOKUP('[1]Beban Mengajar'!F291,[1]Dosen!A:B,2)</f>
        <v>Brina Miftahurrohmah, S.Si., M.Si</v>
      </c>
      <c r="H300" t="s">
        <v>938</v>
      </c>
    </row>
    <row r="301" spans="1:8" hidden="1" x14ac:dyDescent="0.3">
      <c r="A301" s="5" t="s">
        <v>670</v>
      </c>
      <c r="B301" s="58" t="s">
        <v>234</v>
      </c>
      <c r="C301" s="96" t="s">
        <v>473</v>
      </c>
      <c r="D301" s="69" t="s">
        <v>821</v>
      </c>
      <c r="E301" s="47">
        <v>2</v>
      </c>
      <c r="F301" s="9" t="s">
        <v>140</v>
      </c>
      <c r="G301" s="5" t="str">
        <f>VLOOKUP('[1]Beban Mengajar'!F292,[1]Dosen!A:B,2)</f>
        <v>Puji Andayani, S.Si., M.Si., M.Sc.</v>
      </c>
      <c r="H301" t="s">
        <v>938</v>
      </c>
    </row>
    <row r="302" spans="1:8" hidden="1" x14ac:dyDescent="0.3">
      <c r="A302" s="5" t="s">
        <v>670</v>
      </c>
      <c r="B302" s="58" t="s">
        <v>234</v>
      </c>
      <c r="C302" s="96" t="s">
        <v>476</v>
      </c>
      <c r="D302" s="69" t="s">
        <v>822</v>
      </c>
      <c r="E302" s="47">
        <v>3</v>
      </c>
      <c r="F302" s="9" t="s">
        <v>131</v>
      </c>
      <c r="G302" s="5" t="str">
        <f>VLOOKUP('[1]Beban Mengajar'!F293,[1]Dosen!A:B,2)</f>
        <v>Ngatini</v>
      </c>
      <c r="H302" t="s">
        <v>938</v>
      </c>
    </row>
    <row r="303" spans="1:8" hidden="1" x14ac:dyDescent="0.3">
      <c r="A303" s="5" t="s">
        <v>670</v>
      </c>
      <c r="B303" s="58" t="s">
        <v>234</v>
      </c>
      <c r="C303" s="96" t="s">
        <v>486</v>
      </c>
      <c r="D303" s="69" t="s">
        <v>823</v>
      </c>
      <c r="E303" s="47">
        <v>2</v>
      </c>
      <c r="F303" s="9" t="s">
        <v>156</v>
      </c>
      <c r="G303" s="5" t="str">
        <f>VLOOKUP('[1]Beban Mengajar'!F294,[1]Dosen!A:B,2)</f>
        <v>Renny Sari Dewi, S.Kom., M.Kom.</v>
      </c>
      <c r="H303" t="s">
        <v>938</v>
      </c>
    </row>
    <row r="304" spans="1:8" hidden="1" x14ac:dyDescent="0.3">
      <c r="A304" s="5" t="s">
        <v>670</v>
      </c>
      <c r="B304" s="58" t="s">
        <v>234</v>
      </c>
      <c r="C304" s="96" t="s">
        <v>482</v>
      </c>
      <c r="D304" s="69" t="s">
        <v>824</v>
      </c>
      <c r="E304" s="47">
        <v>3</v>
      </c>
      <c r="F304" s="9" t="s">
        <v>140</v>
      </c>
      <c r="G304" s="5" t="str">
        <f>VLOOKUP('[1]Beban Mengajar'!F295,[1]Dosen!A:B,2)</f>
        <v>Puji Andayani, S.Si., M.Si., M.Sc.</v>
      </c>
      <c r="H304" t="s">
        <v>938</v>
      </c>
    </row>
    <row r="305" spans="1:8" hidden="1" x14ac:dyDescent="0.3">
      <c r="A305" s="5" t="s">
        <v>670</v>
      </c>
      <c r="B305" s="58" t="s">
        <v>234</v>
      </c>
      <c r="C305" s="96" t="s">
        <v>484</v>
      </c>
      <c r="D305" s="69" t="s">
        <v>825</v>
      </c>
      <c r="E305" s="47">
        <v>3</v>
      </c>
      <c r="F305" s="9" t="s">
        <v>30</v>
      </c>
      <c r="G305" s="5" t="str">
        <f>VLOOKUP('[1]Beban Mengajar'!F296,[1]Dosen!A:B,2)</f>
        <v>Catur Wulandari, S.Kom., M.Sc</v>
      </c>
      <c r="H305" t="s">
        <v>938</v>
      </c>
    </row>
    <row r="306" spans="1:8" hidden="1" x14ac:dyDescent="0.3">
      <c r="A306" s="5" t="s">
        <v>670</v>
      </c>
      <c r="B306" s="51" t="s">
        <v>896</v>
      </c>
      <c r="C306" s="96" t="s">
        <v>371</v>
      </c>
      <c r="D306" s="5" t="s">
        <v>849</v>
      </c>
      <c r="E306" s="47">
        <v>3</v>
      </c>
      <c r="F306" s="9" t="s">
        <v>148</v>
      </c>
      <c r="G306" s="5" t="str">
        <f>VLOOKUP('[1]Beban Mengajar'!F297,[1]Dosen!A:B,2)</f>
        <v>Ruktin Handayani, S.Kom., M.Kom.</v>
      </c>
      <c r="H306" t="s">
        <v>258</v>
      </c>
    </row>
    <row r="307" spans="1:8" hidden="1" x14ac:dyDescent="0.3">
      <c r="A307" s="5" t="s">
        <v>670</v>
      </c>
      <c r="B307" s="51" t="s">
        <v>233</v>
      </c>
      <c r="C307" s="96" t="s">
        <v>475</v>
      </c>
      <c r="D307" s="69" t="s">
        <v>826</v>
      </c>
      <c r="E307" s="47">
        <v>3</v>
      </c>
      <c r="F307" s="9" t="s">
        <v>26</v>
      </c>
      <c r="G307" s="5" t="str">
        <f>VLOOKUP('[1]Beban Mengajar'!F298,[1]Dosen!A:B,2)</f>
        <v>Brina Miftahurrohmah, S.Si., M.Si</v>
      </c>
      <c r="H307" t="s">
        <v>914</v>
      </c>
    </row>
    <row r="308" spans="1:8" hidden="1" x14ac:dyDescent="0.3">
      <c r="A308" s="5" t="s">
        <v>670</v>
      </c>
      <c r="B308" s="51" t="s">
        <v>896</v>
      </c>
      <c r="C308" s="96" t="s">
        <v>491</v>
      </c>
      <c r="D308" s="69" t="s">
        <v>827</v>
      </c>
      <c r="E308" s="47">
        <v>2</v>
      </c>
      <c r="F308" s="9" t="s">
        <v>30</v>
      </c>
      <c r="G308" s="5" t="str">
        <f>VLOOKUP('[1]Beban Mengajar'!F299,[1]Dosen!A:B,2)</f>
        <v>Catur Wulandari, S.Kom., M.Sc</v>
      </c>
      <c r="H308" t="s">
        <v>258</v>
      </c>
    </row>
    <row r="309" spans="1:8" hidden="1" x14ac:dyDescent="0.3">
      <c r="A309" s="5" t="s">
        <v>670</v>
      </c>
      <c r="B309" s="51" t="s">
        <v>896</v>
      </c>
      <c r="C309" s="96" t="s">
        <v>474</v>
      </c>
      <c r="D309" s="69" t="s">
        <v>828</v>
      </c>
      <c r="E309" s="47">
        <v>3</v>
      </c>
      <c r="F309" s="9" t="s">
        <v>30</v>
      </c>
      <c r="G309" s="5" t="str">
        <f>VLOOKUP('[1]Beban Mengajar'!F300,[1]Dosen!A:B,2)</f>
        <v>Catur Wulandari, S.Kom., M.Sc</v>
      </c>
      <c r="H309" t="s">
        <v>258</v>
      </c>
    </row>
    <row r="310" spans="1:8" hidden="1" x14ac:dyDescent="0.3">
      <c r="A310" s="5" t="s">
        <v>670</v>
      </c>
      <c r="B310" s="51" t="s">
        <v>896</v>
      </c>
      <c r="C310" s="96" t="s">
        <v>477</v>
      </c>
      <c r="D310" s="69" t="s">
        <v>829</v>
      </c>
      <c r="E310" s="47">
        <v>2</v>
      </c>
      <c r="F310" s="9" t="s">
        <v>156</v>
      </c>
      <c r="G310" s="5" t="str">
        <f>VLOOKUP('[1]Beban Mengajar'!F301,[1]Dosen!A:B,2)</f>
        <v>Renny Sari Dewi, S.Kom., M.Kom.</v>
      </c>
      <c r="H310" t="s">
        <v>258</v>
      </c>
    </row>
    <row r="311" spans="1:8" hidden="1" x14ac:dyDescent="0.3">
      <c r="A311" s="5" t="s">
        <v>670</v>
      </c>
      <c r="B311" s="51" t="s">
        <v>896</v>
      </c>
      <c r="C311" s="96" t="s">
        <v>485</v>
      </c>
      <c r="D311" s="69" t="s">
        <v>830</v>
      </c>
      <c r="E311" s="47">
        <v>3</v>
      </c>
      <c r="F311" s="9" t="s">
        <v>30</v>
      </c>
      <c r="G311" s="5" t="str">
        <f>VLOOKUP('[1]Beban Mengajar'!F302,[1]Dosen!A:B,2)</f>
        <v>Catur Wulandari, S.Kom., M.Sc</v>
      </c>
      <c r="H311" t="s">
        <v>914</v>
      </c>
    </row>
    <row r="312" spans="1:8" hidden="1" x14ac:dyDescent="0.3">
      <c r="A312" s="5" t="s">
        <v>670</v>
      </c>
      <c r="B312" s="51" t="s">
        <v>688</v>
      </c>
      <c r="C312" s="96" t="s">
        <v>478</v>
      </c>
      <c r="D312" s="69" t="s">
        <v>831</v>
      </c>
      <c r="E312" s="47">
        <v>3</v>
      </c>
      <c r="F312" s="9" t="s">
        <v>144</v>
      </c>
      <c r="G312" s="5" t="str">
        <f>VLOOKUP('[1]Beban Mengajar'!F303,[1]Dosen!A:B,2)</f>
        <v>Putri Amelia, S.T., M.T., M.Eng.</v>
      </c>
      <c r="H312" t="s">
        <v>258</v>
      </c>
    </row>
    <row r="313" spans="1:8" hidden="1" x14ac:dyDescent="0.3">
      <c r="A313" s="5" t="s">
        <v>670</v>
      </c>
      <c r="B313" s="51" t="s">
        <v>235</v>
      </c>
      <c r="C313" s="96" t="s">
        <v>494</v>
      </c>
      <c r="D313" s="69" t="s">
        <v>832</v>
      </c>
      <c r="E313" s="47">
        <v>3</v>
      </c>
      <c r="F313" s="9" t="s">
        <v>26</v>
      </c>
      <c r="G313" s="5" t="str">
        <f>VLOOKUP('[1]Beban Mengajar'!F304,[1]Dosen!A:B,2)</f>
        <v>Brina Miftahurrohmah, S.Si., M.Si</v>
      </c>
      <c r="H313" t="s">
        <v>938</v>
      </c>
    </row>
    <row r="314" spans="1:8" hidden="1" x14ac:dyDescent="0.3">
      <c r="A314" s="5" t="s">
        <v>670</v>
      </c>
      <c r="B314" s="51" t="s">
        <v>688</v>
      </c>
      <c r="C314" s="96" t="s">
        <v>488</v>
      </c>
      <c r="D314" s="69" t="s">
        <v>833</v>
      </c>
      <c r="E314" s="47">
        <v>2</v>
      </c>
      <c r="F314" s="9" t="s">
        <v>193</v>
      </c>
      <c r="G314" s="5" t="str">
        <f>VLOOKUP('[1]Beban Mengajar'!F305,[1]Dosen!A:B,2)</f>
        <v>Yogantara Setya Dharmawan, S.Kom., M.Sc</v>
      </c>
      <c r="H314" t="s">
        <v>258</v>
      </c>
    </row>
    <row r="315" spans="1:8" hidden="1" x14ac:dyDescent="0.3">
      <c r="A315" s="5" t="s">
        <v>670</v>
      </c>
      <c r="B315" s="51" t="s">
        <v>688</v>
      </c>
      <c r="C315" s="96" t="s">
        <v>480</v>
      </c>
      <c r="D315" s="69" t="s">
        <v>834</v>
      </c>
      <c r="E315" s="47">
        <v>3</v>
      </c>
      <c r="F315" s="9" t="s">
        <v>144</v>
      </c>
      <c r="G315" s="5" t="str">
        <f>VLOOKUP('[1]Beban Mengajar'!F306,[1]Dosen!A:B,2)</f>
        <v>Putri Amelia, S.T., M.T., M.Eng.</v>
      </c>
      <c r="H315" t="s">
        <v>258</v>
      </c>
    </row>
    <row r="316" spans="1:8" hidden="1" x14ac:dyDescent="0.3">
      <c r="A316" s="5" t="s">
        <v>670</v>
      </c>
      <c r="B316" s="51" t="s">
        <v>688</v>
      </c>
      <c r="C316" s="96" t="s">
        <v>495</v>
      </c>
      <c r="D316" s="69" t="s">
        <v>835</v>
      </c>
      <c r="E316" s="47">
        <v>3</v>
      </c>
      <c r="F316" s="9" t="s">
        <v>156</v>
      </c>
      <c r="G316" s="5" t="str">
        <f>VLOOKUP('[1]Beban Mengajar'!F307,[1]Dosen!A:B,2)</f>
        <v>Renny Sari Dewi, S.Kom., M.Kom.</v>
      </c>
      <c r="H316" t="s">
        <v>258</v>
      </c>
    </row>
    <row r="317" spans="1:8" hidden="1" x14ac:dyDescent="0.3">
      <c r="A317" s="5" t="s">
        <v>670</v>
      </c>
      <c r="B317" s="51" t="s">
        <v>688</v>
      </c>
      <c r="C317" s="96" t="s">
        <v>479</v>
      </c>
      <c r="D317" s="69" t="s">
        <v>836</v>
      </c>
      <c r="E317" s="47">
        <v>3</v>
      </c>
      <c r="F317" s="9" t="s">
        <v>30</v>
      </c>
      <c r="G317" s="5" t="str">
        <f>VLOOKUP('[1]Beban Mengajar'!F308,[1]Dosen!A:B,2)</f>
        <v>Catur Wulandari, S.Kom., M.Sc</v>
      </c>
      <c r="H317" t="s">
        <v>258</v>
      </c>
    </row>
    <row r="318" spans="1:8" hidden="1" x14ac:dyDescent="0.3">
      <c r="A318" s="5" t="s">
        <v>670</v>
      </c>
      <c r="B318" s="81" t="s">
        <v>653</v>
      </c>
      <c r="C318" s="96" t="s">
        <v>489</v>
      </c>
      <c r="D318" s="69" t="s">
        <v>837</v>
      </c>
      <c r="E318" s="47">
        <v>3</v>
      </c>
      <c r="F318" s="9" t="s">
        <v>144</v>
      </c>
      <c r="G318" s="5" t="str">
        <f>VLOOKUP('[1]Beban Mengajar'!F309,[1]Dosen!A:B,2)</f>
        <v>Putri Amelia, S.T., M.T., M.Eng.</v>
      </c>
      <c r="H318" t="s">
        <v>938</v>
      </c>
    </row>
    <row r="319" spans="1:8" hidden="1" x14ac:dyDescent="0.3">
      <c r="A319" s="5" t="s">
        <v>670</v>
      </c>
      <c r="B319" s="81" t="s">
        <v>653</v>
      </c>
      <c r="C319" s="96" t="s">
        <v>490</v>
      </c>
      <c r="D319" s="69" t="s">
        <v>838</v>
      </c>
      <c r="E319" s="47">
        <v>3</v>
      </c>
      <c r="F319" s="9" t="s">
        <v>193</v>
      </c>
      <c r="G319" s="5" t="str">
        <f>VLOOKUP('[1]Beban Mengajar'!F310,[1]Dosen!A:B,2)</f>
        <v>Yogantara Setya Dharmawan, S.Kom., M.Sc</v>
      </c>
      <c r="H319" t="s">
        <v>938</v>
      </c>
    </row>
    <row r="320" spans="1:8" hidden="1" x14ac:dyDescent="0.3">
      <c r="A320" s="5" t="s">
        <v>670</v>
      </c>
      <c r="B320" s="51" t="s">
        <v>898</v>
      </c>
      <c r="C320" s="96" t="s">
        <v>487</v>
      </c>
      <c r="D320" s="69" t="s">
        <v>839</v>
      </c>
      <c r="E320" s="47">
        <v>2</v>
      </c>
      <c r="F320" s="9" t="s">
        <v>156</v>
      </c>
      <c r="G320" s="5" t="str">
        <f>VLOOKUP('[1]Beban Mengajar'!F311,[1]Dosen!A:B,2)</f>
        <v>Renny Sari Dewi, S.Kom., M.Kom.</v>
      </c>
      <c r="H320" t="s">
        <v>258</v>
      </c>
    </row>
    <row r="321" spans="1:8" hidden="1" x14ac:dyDescent="0.3">
      <c r="A321" s="5" t="s">
        <v>670</v>
      </c>
      <c r="B321" s="81" t="s">
        <v>653</v>
      </c>
      <c r="C321" s="96" t="s">
        <v>493</v>
      </c>
      <c r="D321" s="69" t="s">
        <v>840</v>
      </c>
      <c r="E321" s="47">
        <v>3</v>
      </c>
      <c r="F321" s="9" t="s">
        <v>71</v>
      </c>
      <c r="G321" s="5" t="str">
        <f>VLOOKUP('[1]Beban Mengajar'!F312,[1]Dosen!A:B,2)</f>
        <v>Lukman</v>
      </c>
      <c r="H321" t="s">
        <v>938</v>
      </c>
    </row>
    <row r="322" spans="1:8" hidden="1" x14ac:dyDescent="0.3">
      <c r="A322" s="5" t="s">
        <v>670</v>
      </c>
      <c r="B322" s="51" t="s">
        <v>898</v>
      </c>
      <c r="C322" s="96" t="s">
        <v>492</v>
      </c>
      <c r="D322" s="69" t="s">
        <v>841</v>
      </c>
      <c r="E322" s="47">
        <v>3</v>
      </c>
      <c r="F322" s="9" t="s">
        <v>71</v>
      </c>
      <c r="G322" s="5" t="str">
        <f>VLOOKUP('[1]Beban Mengajar'!F313,[1]Dosen!A:B,2)</f>
        <v>Lukman</v>
      </c>
      <c r="H322" t="s">
        <v>258</v>
      </c>
    </row>
    <row r="323" spans="1:8" hidden="1" x14ac:dyDescent="0.3">
      <c r="A323" s="5" t="s">
        <v>670</v>
      </c>
      <c r="B323" s="81" t="s">
        <v>900</v>
      </c>
      <c r="C323" s="96" t="s">
        <v>481</v>
      </c>
      <c r="D323" s="69" t="s">
        <v>842</v>
      </c>
      <c r="E323" s="47">
        <v>3</v>
      </c>
      <c r="F323" s="9" t="s">
        <v>193</v>
      </c>
      <c r="G323" s="5" t="str">
        <f>VLOOKUP('[1]Beban Mengajar'!F314,[1]Dosen!A:B,2)</f>
        <v>Yogantara Setya Dharmawan, S.Kom., M.Sc</v>
      </c>
      <c r="H323" t="s">
        <v>938</v>
      </c>
    </row>
    <row r="324" spans="1:8" hidden="1" x14ac:dyDescent="0.3">
      <c r="A324" s="5" t="s">
        <v>670</v>
      </c>
      <c r="B324" s="81" t="s">
        <v>900</v>
      </c>
      <c r="C324" s="96" t="s">
        <v>843</v>
      </c>
      <c r="D324" s="69" t="s">
        <v>844</v>
      </c>
      <c r="E324" s="47">
        <v>3</v>
      </c>
      <c r="F324" s="9" t="s">
        <v>30</v>
      </c>
      <c r="G324" s="5" t="str">
        <f>VLOOKUP('[1]Beban Mengajar'!F315,[1]Dosen!A:B,2)</f>
        <v>Catur Wulandari, S.Kom., M.Sc</v>
      </c>
      <c r="H324" t="s">
        <v>938</v>
      </c>
    </row>
    <row r="325" spans="1:8" hidden="1" x14ac:dyDescent="0.3">
      <c r="A325" s="5" t="s">
        <v>670</v>
      </c>
      <c r="B325" s="81" t="s">
        <v>652</v>
      </c>
      <c r="C325" s="96" t="s">
        <v>494</v>
      </c>
      <c r="D325" s="69" t="s">
        <v>832</v>
      </c>
      <c r="E325" s="47">
        <v>3</v>
      </c>
      <c r="F325" s="9" t="s">
        <v>26</v>
      </c>
      <c r="G325" s="5" t="str">
        <f>VLOOKUP('[1]Beban Mengajar'!F316,[1]Dosen!A:B,2)</f>
        <v>Brina Miftahurrohmah, S.Si., M.Si</v>
      </c>
      <c r="H325" t="s">
        <v>938</v>
      </c>
    </row>
    <row r="326" spans="1:8" hidden="1" x14ac:dyDescent="0.3">
      <c r="A326" s="5" t="s">
        <v>670</v>
      </c>
      <c r="B326" s="81" t="s">
        <v>901</v>
      </c>
      <c r="C326" s="96" t="s">
        <v>489</v>
      </c>
      <c r="D326" s="69" t="s">
        <v>837</v>
      </c>
      <c r="E326" s="47">
        <v>3</v>
      </c>
      <c r="F326" s="9" t="s">
        <v>193</v>
      </c>
      <c r="G326" s="5" t="str">
        <f>VLOOKUP('[1]Beban Mengajar'!F317,[1]Dosen!A:B,2)</f>
        <v>Yogantara Setya Dharmawan, S.Kom., M.Sc</v>
      </c>
      <c r="H326" t="s">
        <v>938</v>
      </c>
    </row>
    <row r="327" spans="1:8" hidden="1" x14ac:dyDescent="0.3">
      <c r="A327" s="5" t="s">
        <v>670</v>
      </c>
      <c r="B327" s="81" t="s">
        <v>901</v>
      </c>
      <c r="C327" s="96" t="s">
        <v>490</v>
      </c>
      <c r="D327" s="69" t="s">
        <v>838</v>
      </c>
      <c r="E327" s="47">
        <v>3</v>
      </c>
      <c r="F327" s="9" t="s">
        <v>193</v>
      </c>
      <c r="G327" s="5" t="str">
        <f>VLOOKUP('[1]Beban Mengajar'!F318,[1]Dosen!A:B,2)</f>
        <v>Yogantara Setya Dharmawan, S.Kom., M.Sc</v>
      </c>
      <c r="H327" t="s">
        <v>938</v>
      </c>
    </row>
    <row r="328" spans="1:8" hidden="1" x14ac:dyDescent="0.3">
      <c r="A328" s="5" t="s">
        <v>670</v>
      </c>
      <c r="B328" s="81" t="s">
        <v>901</v>
      </c>
      <c r="C328" s="96" t="s">
        <v>493</v>
      </c>
      <c r="D328" s="69" t="s">
        <v>840</v>
      </c>
      <c r="E328" s="47">
        <v>3</v>
      </c>
      <c r="F328" s="9" t="s">
        <v>71</v>
      </c>
      <c r="G328" s="5" t="str">
        <f>VLOOKUP('[1]Beban Mengajar'!F319,[1]Dosen!A:B,2)</f>
        <v>Lukman</v>
      </c>
      <c r="H328" t="s">
        <v>938</v>
      </c>
    </row>
    <row r="329" spans="1:8" hidden="1" x14ac:dyDescent="0.3">
      <c r="A329" s="5" t="s">
        <v>902</v>
      </c>
      <c r="B329" s="58" t="s">
        <v>204</v>
      </c>
      <c r="C329" s="88" t="s">
        <v>383</v>
      </c>
      <c r="D329" s="5" t="s">
        <v>384</v>
      </c>
      <c r="E329" s="9">
        <v>2</v>
      </c>
      <c r="F329" s="9" t="s">
        <v>26</v>
      </c>
      <c r="G329" s="5" t="str">
        <f>VLOOKUP('[1]Beban Mengajar'!F320,[1]Dosen!A:B,2)</f>
        <v>Brina Miftahurrohmah, S.Si., M.Si</v>
      </c>
      <c r="H329" t="s">
        <v>938</v>
      </c>
    </row>
    <row r="330" spans="1:8" x14ac:dyDescent="0.3">
      <c r="A330" s="5" t="s">
        <v>902</v>
      </c>
      <c r="B330" s="58" t="s">
        <v>204</v>
      </c>
      <c r="C330" s="88" t="s">
        <v>378</v>
      </c>
      <c r="D330" s="5" t="s">
        <v>379</v>
      </c>
      <c r="E330" s="9">
        <v>3</v>
      </c>
      <c r="F330" s="9" t="s">
        <v>52</v>
      </c>
      <c r="G330" s="5" t="str">
        <f>VLOOKUP('[1]Beban Mengajar'!F321,[1]Dosen!A:B,2)</f>
        <v>Irni Resmi Apriyanti, S.Ds., M.Ds.</v>
      </c>
      <c r="H330" t="s">
        <v>919</v>
      </c>
    </row>
    <row r="331" spans="1:8" x14ac:dyDescent="0.3">
      <c r="A331" s="5" t="s">
        <v>902</v>
      </c>
      <c r="B331" s="58" t="s">
        <v>204</v>
      </c>
      <c r="C331" s="82" t="s">
        <v>380</v>
      </c>
      <c r="D331" s="5" t="s">
        <v>381</v>
      </c>
      <c r="E331" s="9">
        <v>3</v>
      </c>
      <c r="F331" s="9" t="s">
        <v>176</v>
      </c>
      <c r="G331" s="5" t="str">
        <f>VLOOKUP('[1]Beban Mengajar'!F322,[1]Dosen!A:B,2)</f>
        <v>Trias Widha Andari, S.Sn., M.Ds.</v>
      </c>
      <c r="H331" t="s">
        <v>919</v>
      </c>
    </row>
    <row r="332" spans="1:8" ht="15.6" x14ac:dyDescent="0.3">
      <c r="A332" s="5" t="s">
        <v>902</v>
      </c>
      <c r="B332" s="58" t="s">
        <v>204</v>
      </c>
      <c r="C332" s="88" t="s">
        <v>369</v>
      </c>
      <c r="D332" s="5" t="s">
        <v>845</v>
      </c>
      <c r="E332" s="9">
        <v>3</v>
      </c>
      <c r="F332" s="9" t="s">
        <v>150</v>
      </c>
      <c r="G332" s="5" t="str">
        <f>VLOOKUP('[1]Beban Mengajar'!F323,[1]Dosen!A:B,2)</f>
        <v>Rizky Noviasri, S.Sn., M.Ds.</v>
      </c>
      <c r="H332" t="s">
        <v>919</v>
      </c>
    </row>
    <row r="333" spans="1:8" ht="15.6" hidden="1" x14ac:dyDescent="0.3">
      <c r="A333" s="5" t="s">
        <v>902</v>
      </c>
      <c r="B333" s="58" t="s">
        <v>204</v>
      </c>
      <c r="C333" s="97" t="s">
        <v>358</v>
      </c>
      <c r="D333" s="5" t="s">
        <v>846</v>
      </c>
      <c r="E333" s="50">
        <v>2</v>
      </c>
      <c r="F333" s="9" t="s">
        <v>152</v>
      </c>
      <c r="G333" s="5" t="str">
        <f>VLOOKUP('[1]Beban Mengajar'!F324,[1]Dosen!A:B,2)</f>
        <v>Roostikasari Nugraheni, S.Hum., M.Med.Kom.</v>
      </c>
      <c r="H333" t="s">
        <v>938</v>
      </c>
    </row>
    <row r="334" spans="1:8" hidden="1" x14ac:dyDescent="0.3">
      <c r="A334" s="5" t="s">
        <v>902</v>
      </c>
      <c r="B334" s="58" t="s">
        <v>204</v>
      </c>
      <c r="C334" s="88" t="s">
        <v>382</v>
      </c>
      <c r="D334" s="5" t="s">
        <v>847</v>
      </c>
      <c r="E334" s="9">
        <v>3</v>
      </c>
      <c r="F334" s="9" t="s">
        <v>168</v>
      </c>
      <c r="G334" s="5" t="str">
        <f>VLOOKUP('[1]Beban Mengajar'!F325,[1]Dosen!A:B,2)</f>
        <v>Tyas Ajeng Nastiti, S.T., M.Ds.</v>
      </c>
      <c r="H334" t="s">
        <v>938</v>
      </c>
    </row>
    <row r="335" spans="1:8" hidden="1" x14ac:dyDescent="0.3">
      <c r="A335" s="5" t="s">
        <v>902</v>
      </c>
      <c r="B335" s="81" t="s">
        <v>203</v>
      </c>
      <c r="C335" s="88" t="s">
        <v>371</v>
      </c>
      <c r="D335" s="5" t="s">
        <v>849</v>
      </c>
      <c r="E335" s="50">
        <v>1.5</v>
      </c>
      <c r="F335" s="9" t="s">
        <v>148</v>
      </c>
      <c r="G335" s="5" t="str">
        <f>VLOOKUP('[1]Beban Mengajar'!F326,[1]Dosen!A:B,2)</f>
        <v>Ruktin Handayani, S.Kom., M.Kom.</v>
      </c>
      <c r="H335" t="s">
        <v>938</v>
      </c>
    </row>
    <row r="336" spans="1:8" hidden="1" x14ac:dyDescent="0.3">
      <c r="A336" s="5" t="s">
        <v>902</v>
      </c>
      <c r="B336" s="81" t="s">
        <v>203</v>
      </c>
      <c r="C336" s="88" t="s">
        <v>371</v>
      </c>
      <c r="D336" s="5" t="s">
        <v>849</v>
      </c>
      <c r="E336" s="50">
        <v>1.5</v>
      </c>
      <c r="F336" s="9" t="s">
        <v>176</v>
      </c>
      <c r="G336" s="5" t="str">
        <f>VLOOKUP('[1]Beban Mengajar'!F327,[1]Dosen!A:B,2)</f>
        <v>Trias Widha Andari, S.Sn., M.Ds.</v>
      </c>
      <c r="H336" t="s">
        <v>938</v>
      </c>
    </row>
    <row r="337" spans="1:8" hidden="1" x14ac:dyDescent="0.3">
      <c r="A337" s="5" t="s">
        <v>902</v>
      </c>
      <c r="B337" s="81" t="s">
        <v>203</v>
      </c>
      <c r="C337" s="88" t="s">
        <v>365</v>
      </c>
      <c r="D337" s="5" t="s">
        <v>850</v>
      </c>
      <c r="E337" s="50">
        <v>3</v>
      </c>
      <c r="F337" s="9" t="s">
        <v>132</v>
      </c>
      <c r="G337" s="5" t="str">
        <f>VLOOKUP('[1]Beban Mengajar'!F328,[1]Dosen!A:B,2)</f>
        <v>Nova Ridho Sisprasojo, S.Sn., M.Ds.</v>
      </c>
      <c r="H337" t="s">
        <v>938</v>
      </c>
    </row>
    <row r="338" spans="1:8" hidden="1" x14ac:dyDescent="0.3">
      <c r="A338" s="5" t="s">
        <v>902</v>
      </c>
      <c r="B338" s="81" t="s">
        <v>203</v>
      </c>
      <c r="C338" s="88" t="s">
        <v>366</v>
      </c>
      <c r="D338" s="5" t="s">
        <v>851</v>
      </c>
      <c r="E338" s="50">
        <v>3</v>
      </c>
      <c r="F338" s="9" t="s">
        <v>150</v>
      </c>
      <c r="G338" s="5" t="str">
        <f>VLOOKUP('[1]Beban Mengajar'!F329,[1]Dosen!A:B,2)</f>
        <v>Rizky Noviasri, S.Sn., M.Ds.</v>
      </c>
      <c r="H338" t="s">
        <v>938</v>
      </c>
    </row>
    <row r="339" spans="1:8" x14ac:dyDescent="0.3">
      <c r="A339" s="5" t="s">
        <v>902</v>
      </c>
      <c r="B339" s="81" t="s">
        <v>203</v>
      </c>
      <c r="C339" s="88" t="s">
        <v>390</v>
      </c>
      <c r="D339" s="5" t="s">
        <v>391</v>
      </c>
      <c r="E339" s="50">
        <v>3</v>
      </c>
      <c r="F339" s="9" t="s">
        <v>168</v>
      </c>
      <c r="G339" s="5" t="str">
        <f>VLOOKUP('[1]Beban Mengajar'!F330,[1]Dosen!A:B,2)</f>
        <v>Tyas Ajeng Nastiti, S.T., M.Ds.</v>
      </c>
      <c r="H339" t="s">
        <v>919</v>
      </c>
    </row>
    <row r="340" spans="1:8" hidden="1" x14ac:dyDescent="0.3">
      <c r="A340" s="5" t="s">
        <v>902</v>
      </c>
      <c r="B340" s="81" t="s">
        <v>203</v>
      </c>
      <c r="C340" s="88" t="s">
        <v>376</v>
      </c>
      <c r="D340" s="5" t="s">
        <v>377</v>
      </c>
      <c r="E340" s="50">
        <v>3</v>
      </c>
      <c r="F340" s="9" t="s">
        <v>132</v>
      </c>
      <c r="G340" s="5" t="str">
        <f>VLOOKUP('[1]Beban Mengajar'!F331,[1]Dosen!A:B,2)</f>
        <v>Nova Ridho Sisprasojo, S.Sn., M.Ds.</v>
      </c>
      <c r="H340" t="s">
        <v>938</v>
      </c>
    </row>
    <row r="341" spans="1:8" hidden="1" x14ac:dyDescent="0.3">
      <c r="A341" s="5" t="s">
        <v>902</v>
      </c>
      <c r="B341" s="81" t="s">
        <v>203</v>
      </c>
      <c r="C341" s="88" t="s">
        <v>387</v>
      </c>
      <c r="D341" s="5" t="s">
        <v>388</v>
      </c>
      <c r="E341" s="50">
        <v>2</v>
      </c>
      <c r="F341" s="9" t="s">
        <v>152</v>
      </c>
      <c r="G341" s="5" t="str">
        <f>VLOOKUP('[1]Beban Mengajar'!F332,[1]Dosen!A:B,2)</f>
        <v>Roostikasari Nugraheni, S.Hum., M.Med.Kom.</v>
      </c>
      <c r="H341" t="s">
        <v>938</v>
      </c>
    </row>
    <row r="342" spans="1:8" hidden="1" x14ac:dyDescent="0.3">
      <c r="A342" s="5" t="s">
        <v>902</v>
      </c>
      <c r="B342" s="81" t="s">
        <v>205</v>
      </c>
      <c r="C342" s="88" t="s">
        <v>328</v>
      </c>
      <c r="D342" s="5" t="s">
        <v>329</v>
      </c>
      <c r="E342" s="50">
        <v>2</v>
      </c>
      <c r="F342" s="9" t="s">
        <v>150</v>
      </c>
      <c r="G342" s="5" t="str">
        <f>VLOOKUP('[1]Beban Mengajar'!F333,[1]Dosen!A:B,2)</f>
        <v>Rizky Noviasri, S.Sn., M.Ds.</v>
      </c>
      <c r="H342" t="s">
        <v>938</v>
      </c>
    </row>
    <row r="343" spans="1:8" hidden="1" x14ac:dyDescent="0.3">
      <c r="A343" s="5" t="s">
        <v>902</v>
      </c>
      <c r="B343" s="81" t="s">
        <v>205</v>
      </c>
      <c r="C343" s="88" t="s">
        <v>852</v>
      </c>
      <c r="D343" s="5" t="s">
        <v>853</v>
      </c>
      <c r="E343" s="50">
        <v>3</v>
      </c>
      <c r="F343" s="9" t="s">
        <v>132</v>
      </c>
      <c r="G343" s="5" t="str">
        <f>VLOOKUP('[1]Beban Mengajar'!F334,[1]Dosen!A:B,2)</f>
        <v>Nova Ridho Sisprasojo, S.Sn., M.Ds.</v>
      </c>
      <c r="H343" t="s">
        <v>938</v>
      </c>
    </row>
    <row r="344" spans="1:8" hidden="1" x14ac:dyDescent="0.3">
      <c r="A344" s="5" t="s">
        <v>902</v>
      </c>
      <c r="B344" s="81" t="s">
        <v>205</v>
      </c>
      <c r="C344" s="88" t="s">
        <v>854</v>
      </c>
      <c r="D344" s="5" t="s">
        <v>855</v>
      </c>
      <c r="E344" s="50">
        <v>3</v>
      </c>
      <c r="F344" s="9" t="s">
        <v>168</v>
      </c>
      <c r="G344" s="5" t="str">
        <f>VLOOKUP('[1]Beban Mengajar'!F335,[1]Dosen!A:B,2)</f>
        <v>Tyas Ajeng Nastiti, S.T., M.Ds.</v>
      </c>
      <c r="H344" t="s">
        <v>938</v>
      </c>
    </row>
    <row r="345" spans="1:8" hidden="1" x14ac:dyDescent="0.3">
      <c r="A345" s="5" t="s">
        <v>902</v>
      </c>
      <c r="B345" s="81" t="s">
        <v>205</v>
      </c>
      <c r="C345" s="88" t="s">
        <v>363</v>
      </c>
      <c r="D345" s="5" t="s">
        <v>364</v>
      </c>
      <c r="E345" s="50">
        <v>3</v>
      </c>
      <c r="F345" s="9" t="s">
        <v>52</v>
      </c>
      <c r="G345" s="5" t="str">
        <f>VLOOKUP('[1]Beban Mengajar'!F336,[1]Dosen!A:B,2)</f>
        <v>Irni Resmi Apriyanti, S.Ds., M.Ds.</v>
      </c>
      <c r="H345" t="s">
        <v>938</v>
      </c>
    </row>
    <row r="346" spans="1:8" hidden="1" x14ac:dyDescent="0.3">
      <c r="A346" s="5" t="s">
        <v>902</v>
      </c>
      <c r="B346" s="81" t="s">
        <v>205</v>
      </c>
      <c r="C346" s="88" t="s">
        <v>361</v>
      </c>
      <c r="D346" s="5" t="s">
        <v>362</v>
      </c>
      <c r="E346" s="50">
        <v>3</v>
      </c>
      <c r="F346" s="9" t="s">
        <v>52</v>
      </c>
      <c r="G346" s="5" t="str">
        <f>VLOOKUP('[1]Beban Mengajar'!F337,[1]Dosen!A:B,2)</f>
        <v>Irni Resmi Apriyanti, S.Ds., M.Ds.</v>
      </c>
      <c r="H346" t="s">
        <v>938</v>
      </c>
    </row>
    <row r="347" spans="1:8" hidden="1" x14ac:dyDescent="0.3">
      <c r="A347" s="5" t="s">
        <v>902</v>
      </c>
      <c r="B347" s="81" t="s">
        <v>205</v>
      </c>
      <c r="C347" s="88" t="s">
        <v>372</v>
      </c>
      <c r="D347" s="5" t="s">
        <v>373</v>
      </c>
      <c r="E347" s="50">
        <v>2</v>
      </c>
      <c r="F347" s="9" t="s">
        <v>152</v>
      </c>
      <c r="G347" s="5" t="str">
        <f>VLOOKUP('[1]Beban Mengajar'!F338,[1]Dosen!A:B,2)</f>
        <v>Roostikasari Nugraheni, S.Hum., M.Med.Kom.</v>
      </c>
      <c r="H347" t="s">
        <v>938</v>
      </c>
    </row>
    <row r="348" spans="1:8" hidden="1" x14ac:dyDescent="0.3">
      <c r="A348" s="5" t="s">
        <v>902</v>
      </c>
      <c r="B348" s="81" t="s">
        <v>205</v>
      </c>
      <c r="C348" s="88" t="s">
        <v>370</v>
      </c>
      <c r="D348" s="5" t="s">
        <v>856</v>
      </c>
      <c r="E348" s="50">
        <v>3</v>
      </c>
      <c r="F348" s="9" t="s">
        <v>168</v>
      </c>
      <c r="G348" s="5" t="str">
        <f>VLOOKUP('[1]Beban Mengajar'!F339,[1]Dosen!A:B,2)</f>
        <v>Tyas Ajeng Nastiti, S.T., M.Ds.</v>
      </c>
      <c r="H348" t="s">
        <v>938</v>
      </c>
    </row>
    <row r="349" spans="1:8" hidden="1" x14ac:dyDescent="0.3">
      <c r="A349" s="5" t="s">
        <v>902</v>
      </c>
      <c r="B349" s="81" t="s">
        <v>648</v>
      </c>
      <c r="C349" s="88" t="s">
        <v>389</v>
      </c>
      <c r="D349" s="5" t="s">
        <v>857</v>
      </c>
      <c r="E349" s="50">
        <v>1.5</v>
      </c>
      <c r="F349" s="9" t="s">
        <v>176</v>
      </c>
      <c r="G349" s="5" t="str">
        <f>VLOOKUP('[1]Beban Mengajar'!F340,[1]Dosen!A:B,2)</f>
        <v>Trias Widha Andari, S.Sn., M.Ds.</v>
      </c>
      <c r="H349" t="s">
        <v>938</v>
      </c>
    </row>
    <row r="350" spans="1:8" hidden="1" x14ac:dyDescent="0.3">
      <c r="A350" s="5" t="s">
        <v>902</v>
      </c>
      <c r="B350" s="81" t="s">
        <v>904</v>
      </c>
      <c r="C350" s="88" t="s">
        <v>389</v>
      </c>
      <c r="D350" s="5" t="s">
        <v>857</v>
      </c>
      <c r="E350" s="50">
        <v>1.5</v>
      </c>
      <c r="F350" s="9" t="s">
        <v>52</v>
      </c>
      <c r="G350" s="5" t="str">
        <f>VLOOKUP('[1]Beban Mengajar'!F341,[1]Dosen!A:B,2)</f>
        <v>Irni Resmi Apriyanti, S.Ds., M.Ds.</v>
      </c>
      <c r="H350" t="s">
        <v>938</v>
      </c>
    </row>
    <row r="351" spans="1:8" hidden="1" x14ac:dyDescent="0.3">
      <c r="A351" s="5" t="s">
        <v>902</v>
      </c>
      <c r="B351" s="81" t="s">
        <v>648</v>
      </c>
      <c r="C351" s="88" t="s">
        <v>359</v>
      </c>
      <c r="D351" s="5" t="s">
        <v>360</v>
      </c>
      <c r="E351" s="50">
        <v>3</v>
      </c>
      <c r="F351" s="9" t="s">
        <v>168</v>
      </c>
      <c r="G351" s="5" t="str">
        <f>VLOOKUP('[1]Beban Mengajar'!F342,[1]Dosen!A:B,2)</f>
        <v>Tyas Ajeng Nastiti, S.T., M.Ds.</v>
      </c>
      <c r="H351" t="s">
        <v>938</v>
      </c>
    </row>
    <row r="352" spans="1:8" hidden="1" x14ac:dyDescent="0.3">
      <c r="A352" s="5" t="s">
        <v>902</v>
      </c>
      <c r="B352" s="81" t="s">
        <v>648</v>
      </c>
      <c r="C352" s="88" t="s">
        <v>367</v>
      </c>
      <c r="D352" s="5" t="s">
        <v>368</v>
      </c>
      <c r="E352" s="50">
        <v>3</v>
      </c>
      <c r="F352" s="9" t="s">
        <v>52</v>
      </c>
      <c r="G352" s="5" t="str">
        <f>VLOOKUP('[1]Beban Mengajar'!F343,[1]Dosen!A:B,2)</f>
        <v>Irni Resmi Apriyanti, S.Ds., M.Ds.</v>
      </c>
      <c r="H352" t="s">
        <v>938</v>
      </c>
    </row>
    <row r="353" spans="1:8" hidden="1" x14ac:dyDescent="0.3">
      <c r="A353" s="5" t="s">
        <v>902</v>
      </c>
      <c r="B353" s="81" t="s">
        <v>648</v>
      </c>
      <c r="C353" s="88" t="s">
        <v>374</v>
      </c>
      <c r="D353" s="5" t="s">
        <v>375</v>
      </c>
      <c r="E353" s="50">
        <v>3</v>
      </c>
      <c r="F353" s="9" t="s">
        <v>150</v>
      </c>
      <c r="G353" s="5" t="str">
        <f>VLOOKUP('[1]Beban Mengajar'!F344,[1]Dosen!A:B,2)</f>
        <v>Rizky Noviasri, S.Sn., M.Ds.</v>
      </c>
      <c r="H353" t="s">
        <v>938</v>
      </c>
    </row>
    <row r="354" spans="1:8" hidden="1" x14ac:dyDescent="0.3">
      <c r="A354" s="5" t="s">
        <v>902</v>
      </c>
      <c r="B354" s="81" t="s">
        <v>648</v>
      </c>
      <c r="C354" s="88" t="s">
        <v>392</v>
      </c>
      <c r="D354" s="5" t="s">
        <v>393</v>
      </c>
      <c r="E354" s="50">
        <v>3</v>
      </c>
      <c r="F354" s="9" t="s">
        <v>176</v>
      </c>
      <c r="G354" s="5" t="str">
        <f>VLOOKUP('[1]Beban Mengajar'!F345,[1]Dosen!A:B,2)</f>
        <v>Trias Widha Andari, S.Sn., M.Ds.</v>
      </c>
      <c r="H354" s="5" t="s">
        <v>914</v>
      </c>
    </row>
    <row r="355" spans="1:8" hidden="1" x14ac:dyDescent="0.3">
      <c r="A355" s="5" t="s">
        <v>902</v>
      </c>
      <c r="B355" s="58" t="s">
        <v>905</v>
      </c>
      <c r="C355" s="88" t="s">
        <v>860</v>
      </c>
      <c r="D355" s="5" t="s">
        <v>643</v>
      </c>
      <c r="E355" s="50">
        <v>3</v>
      </c>
      <c r="F355" s="9" t="s">
        <v>176</v>
      </c>
      <c r="G355" s="5" t="str">
        <f>VLOOKUP('[1]Beban Mengajar'!F347,[1]Dosen!A:B,2)</f>
        <v>Trias Widha Andari, S.Sn., M.Ds.</v>
      </c>
      <c r="H355" t="s">
        <v>938</v>
      </c>
    </row>
    <row r="356" spans="1:8" hidden="1" x14ac:dyDescent="0.3">
      <c r="A356" s="5" t="s">
        <v>902</v>
      </c>
      <c r="B356" s="58" t="s">
        <v>905</v>
      </c>
      <c r="C356" s="88" t="s">
        <v>385</v>
      </c>
      <c r="D356" s="5" t="s">
        <v>386</v>
      </c>
      <c r="E356" s="50">
        <v>2</v>
      </c>
      <c r="F356" s="9" t="s">
        <v>150</v>
      </c>
      <c r="G356" s="5" t="str">
        <f>VLOOKUP('[1]Beban Mengajar'!F348,[1]Dosen!A:B,2)</f>
        <v>Rizky Noviasri, S.Sn., M.Ds.</v>
      </c>
      <c r="H356" t="s">
        <v>938</v>
      </c>
    </row>
    <row r="357" spans="1:8" hidden="1" x14ac:dyDescent="0.3">
      <c r="A357" s="5" t="s">
        <v>902</v>
      </c>
      <c r="B357" s="58" t="s">
        <v>905</v>
      </c>
      <c r="C357" s="88" t="s">
        <v>861</v>
      </c>
      <c r="D357" s="5" t="s">
        <v>862</v>
      </c>
      <c r="E357" s="2">
        <v>3</v>
      </c>
      <c r="F357" s="9" t="s">
        <v>132</v>
      </c>
      <c r="G357" s="5" t="str">
        <f>VLOOKUP('[1]Beban Mengajar'!F349,[1]Dosen!A:B,2)</f>
        <v>Nova Ridho Sisprasojo, S.Sn., M.Ds.</v>
      </c>
      <c r="H357" t="s">
        <v>938</v>
      </c>
    </row>
    <row r="358" spans="1:8" hidden="1" x14ac:dyDescent="0.3">
      <c r="A358" s="5"/>
      <c r="B358" s="58" t="s">
        <v>906</v>
      </c>
      <c r="C358" s="88" t="s">
        <v>322</v>
      </c>
      <c r="D358" s="5" t="s">
        <v>417</v>
      </c>
      <c r="E358" s="2">
        <v>2</v>
      </c>
      <c r="F358" s="9" t="s">
        <v>50</v>
      </c>
      <c r="G358" s="5" t="str">
        <f>VLOOKUP('[1]Beban Mengajar'!F350,[1]Dosen!A:B,2)</f>
        <v>Irvan Adhin Cholilie, S.TP., M.P</v>
      </c>
      <c r="H358" s="5" t="s">
        <v>302</v>
      </c>
    </row>
    <row r="359" spans="1:8" hidden="1" x14ac:dyDescent="0.3">
      <c r="A359" s="5"/>
      <c r="B359" s="58" t="s">
        <v>907</v>
      </c>
      <c r="C359" s="88" t="s">
        <v>322</v>
      </c>
      <c r="D359" s="5" t="s">
        <v>417</v>
      </c>
      <c r="E359" s="2">
        <v>2</v>
      </c>
      <c r="F359" s="9" t="s">
        <v>195</v>
      </c>
      <c r="G359" s="5" t="s">
        <v>27</v>
      </c>
      <c r="H359" s="5" t="s">
        <v>302</v>
      </c>
    </row>
    <row r="360" spans="1:8" hidden="1" x14ac:dyDescent="0.3">
      <c r="A360" s="5"/>
      <c r="B360" s="58" t="s">
        <v>906</v>
      </c>
      <c r="C360" s="82" t="s">
        <v>308</v>
      </c>
      <c r="D360" s="20" t="s">
        <v>697</v>
      </c>
      <c r="E360" s="2">
        <v>2</v>
      </c>
      <c r="F360" s="9" t="s">
        <v>119</v>
      </c>
      <c r="G360" s="5" t="str">
        <f>VLOOKUP('[1]Beban Mengajar'!F352,[1]Dosen!A:B,2)</f>
        <v>Drs. Muhammad Asyhad, M.Pd.I.</v>
      </c>
      <c r="H360" s="5" t="s">
        <v>910</v>
      </c>
    </row>
    <row r="361" spans="1:8" hidden="1" x14ac:dyDescent="0.3">
      <c r="A361" s="5"/>
      <c r="B361" s="58" t="s">
        <v>907</v>
      </c>
      <c r="C361" s="82" t="s">
        <v>308</v>
      </c>
      <c r="D361" s="20" t="s">
        <v>697</v>
      </c>
      <c r="E361" s="2">
        <v>2</v>
      </c>
      <c r="F361" s="9" t="s">
        <v>74</v>
      </c>
      <c r="G361" s="5" t="str">
        <f>VLOOKUP('[1]Beban Mengajar'!F353,[1]Dosen!A:B,2)</f>
        <v>M. Fathoni</v>
      </c>
      <c r="H361" s="5" t="s">
        <v>910</v>
      </c>
    </row>
    <row r="362" spans="1:8" hidden="1" x14ac:dyDescent="0.3">
      <c r="A362" s="5"/>
      <c r="B362" s="58" t="s">
        <v>922</v>
      </c>
      <c r="C362" s="82" t="s">
        <v>308</v>
      </c>
      <c r="D362" s="20" t="s">
        <v>697</v>
      </c>
      <c r="E362" s="2">
        <v>2</v>
      </c>
      <c r="F362" s="9" t="s">
        <v>74</v>
      </c>
      <c r="G362" s="5" t="str">
        <f>VLOOKUP('[1]Beban Mengajar'!F354,[1]Dosen!A:B,2)</f>
        <v>M. Fathoni</v>
      </c>
      <c r="H362" s="5" t="s">
        <v>910</v>
      </c>
    </row>
    <row r="363" spans="1:8" hidden="1" x14ac:dyDescent="0.3">
      <c r="A363" s="5"/>
      <c r="B363" s="58" t="s">
        <v>906</v>
      </c>
      <c r="C363" s="96" t="s">
        <v>352</v>
      </c>
      <c r="D363" s="51" t="s">
        <v>868</v>
      </c>
      <c r="E363" s="50">
        <v>2</v>
      </c>
      <c r="F363" s="9" t="s">
        <v>50</v>
      </c>
      <c r="G363" s="5" t="str">
        <f>VLOOKUP('[1]Beban Mengajar'!F355,[1]Dosen!A:B,2)</f>
        <v>Irvan Adhin Cholilie, S.TP., M.P</v>
      </c>
      <c r="H363" s="5" t="s">
        <v>910</v>
      </c>
    </row>
    <row r="364" spans="1:8" hidden="1" x14ac:dyDescent="0.3">
      <c r="A364" s="5"/>
      <c r="B364" s="58" t="s">
        <v>907</v>
      </c>
      <c r="C364" s="96" t="s">
        <v>352</v>
      </c>
      <c r="D364" s="51" t="s">
        <v>868</v>
      </c>
      <c r="E364" s="50">
        <v>2</v>
      </c>
      <c r="F364" s="9" t="s">
        <v>50</v>
      </c>
      <c r="G364" s="5" t="str">
        <f>VLOOKUP('[1]Beban Mengajar'!F356,[1]Dosen!A:B,2)</f>
        <v>Irvan Adhin Cholilie, S.TP., M.P</v>
      </c>
      <c r="H364" s="5" t="s">
        <v>910</v>
      </c>
    </row>
    <row r="365" spans="1:8" hidden="1" x14ac:dyDescent="0.3">
      <c r="A365" s="5"/>
      <c r="B365" s="58" t="s">
        <v>922</v>
      </c>
      <c r="C365" s="96" t="s">
        <v>352</v>
      </c>
      <c r="D365" s="51" t="s">
        <v>868</v>
      </c>
      <c r="E365" s="50">
        <v>2</v>
      </c>
      <c r="F365" s="9" t="s">
        <v>195</v>
      </c>
      <c r="G365" s="5" t="str">
        <f>VLOOKUP('[1]Beban Mengajar'!F357,[1]Dosen!A:B,2)</f>
        <v>Yunita Siti Mardhiyyah</v>
      </c>
      <c r="H365" s="5" t="s">
        <v>910</v>
      </c>
    </row>
    <row r="366" spans="1:8" hidden="1" x14ac:dyDescent="0.3">
      <c r="A366" s="5"/>
      <c r="B366" s="58" t="s">
        <v>923</v>
      </c>
      <c r="C366" s="96" t="s">
        <v>352</v>
      </c>
      <c r="D366" s="51" t="s">
        <v>868</v>
      </c>
      <c r="E366" s="50">
        <v>2</v>
      </c>
      <c r="F366" s="9" t="s">
        <v>54</v>
      </c>
      <c r="G366" s="5" t="str">
        <f>VLOOKUP('[1]Beban Mengajar'!F358,[1]Dosen!A:B,2)</f>
        <v>Izzati Winda Murti, S.T., M.T.</v>
      </c>
      <c r="H366" s="5" t="s">
        <v>910</v>
      </c>
    </row>
    <row r="367" spans="1:8" hidden="1" x14ac:dyDescent="0.3">
      <c r="A367" s="5"/>
      <c r="B367" s="58" t="s">
        <v>924</v>
      </c>
      <c r="C367" s="96" t="s">
        <v>352</v>
      </c>
      <c r="D367" s="51" t="s">
        <v>868</v>
      </c>
      <c r="E367" s="50">
        <v>2</v>
      </c>
      <c r="F367" s="9" t="s">
        <v>54</v>
      </c>
      <c r="G367" s="5" t="str">
        <f>VLOOKUP('[1]Beban Mengajar'!F359,[1]Dosen!A:B,2)</f>
        <v>Izzati Winda Murti, S.T., M.T.</v>
      </c>
      <c r="H367" s="5" t="s">
        <v>910</v>
      </c>
    </row>
    <row r="368" spans="1:8" hidden="1" x14ac:dyDescent="0.3">
      <c r="A368" s="5"/>
      <c r="B368" s="58" t="s">
        <v>925</v>
      </c>
      <c r="C368" s="96" t="s">
        <v>352</v>
      </c>
      <c r="D368" s="51" t="s">
        <v>868</v>
      </c>
      <c r="E368" s="50">
        <v>2</v>
      </c>
      <c r="F368" s="9" t="s">
        <v>54</v>
      </c>
      <c r="G368" s="5" t="str">
        <f>VLOOKUP('[1]Beban Mengajar'!F360,[1]Dosen!A:B,2)</f>
        <v>Izzati Winda Murti, S.T., M.T.</v>
      </c>
      <c r="H368" s="5" t="s">
        <v>910</v>
      </c>
    </row>
    <row r="369" spans="1:8" hidden="1" x14ac:dyDescent="0.3">
      <c r="A369" s="5"/>
      <c r="B369" s="58" t="s">
        <v>926</v>
      </c>
      <c r="C369" s="96" t="s">
        <v>352</v>
      </c>
      <c r="D369" s="51" t="s">
        <v>868</v>
      </c>
      <c r="E369" s="50">
        <v>2</v>
      </c>
      <c r="F369" s="9" t="s">
        <v>50</v>
      </c>
      <c r="G369" s="5" t="str">
        <f>VLOOKUP('[1]Beban Mengajar'!F361,[1]Dosen!A:B,2)</f>
        <v>Irvan Adhin Cholilie, S.TP., M.P</v>
      </c>
      <c r="H369" s="5" t="s">
        <v>910</v>
      </c>
    </row>
    <row r="370" spans="1:8" hidden="1" x14ac:dyDescent="0.3">
      <c r="A370" s="5"/>
      <c r="B370" s="58" t="s">
        <v>906</v>
      </c>
      <c r="C370" s="88" t="s">
        <v>356</v>
      </c>
      <c r="D370" s="20" t="s">
        <v>357</v>
      </c>
      <c r="E370" s="9">
        <v>2</v>
      </c>
      <c r="F370" s="9" t="s">
        <v>82</v>
      </c>
      <c r="G370" s="5" t="str">
        <f>VLOOKUP('[1]Beban Mengajar'!F362,[1]Dosen!A:B,2)</f>
        <v>Anisa Pinatih</v>
      </c>
      <c r="H370" t="s">
        <v>927</v>
      </c>
    </row>
    <row r="371" spans="1:8" hidden="1" x14ac:dyDescent="0.3">
      <c r="A371" s="5"/>
      <c r="B371" s="58" t="s">
        <v>907</v>
      </c>
      <c r="C371" s="88" t="s">
        <v>356</v>
      </c>
      <c r="D371" s="20" t="s">
        <v>357</v>
      </c>
      <c r="E371" s="9">
        <v>2</v>
      </c>
      <c r="F371" s="9" t="s">
        <v>82</v>
      </c>
      <c r="G371" s="5" t="str">
        <f>VLOOKUP('[1]Beban Mengajar'!F363,[1]Dosen!A:B,2)</f>
        <v>Anisa Pinatih</v>
      </c>
      <c r="H371" t="s">
        <v>927</v>
      </c>
    </row>
    <row r="372" spans="1:8" hidden="1" x14ac:dyDescent="0.3">
      <c r="A372" s="5"/>
      <c r="B372" s="58" t="s">
        <v>922</v>
      </c>
      <c r="C372" s="88" t="s">
        <v>356</v>
      </c>
      <c r="D372" s="20" t="s">
        <v>357</v>
      </c>
      <c r="E372" s="9">
        <v>2</v>
      </c>
      <c r="F372" s="98" t="s">
        <v>93</v>
      </c>
      <c r="G372" s="5" t="str">
        <f>VLOOKUP('[1]Beban Mengajar'!F364,[1]Dosen!A:B,2)</f>
        <v>Pristi Rininta</v>
      </c>
      <c r="H372" t="s">
        <v>927</v>
      </c>
    </row>
    <row r="373" spans="1:8" hidden="1" x14ac:dyDescent="0.3">
      <c r="A373" s="5"/>
      <c r="B373" s="58" t="s">
        <v>923</v>
      </c>
      <c r="C373" s="88" t="s">
        <v>356</v>
      </c>
      <c r="D373" s="20" t="s">
        <v>357</v>
      </c>
      <c r="E373" s="9">
        <v>2</v>
      </c>
      <c r="F373" s="98" t="s">
        <v>93</v>
      </c>
      <c r="G373" s="5" t="str">
        <f>VLOOKUP('[1]Beban Mengajar'!F365,[1]Dosen!A:B,2)</f>
        <v>Pristi Rininta</v>
      </c>
      <c r="H373" t="s">
        <v>927</v>
      </c>
    </row>
    <row r="374" spans="1:8" hidden="1" x14ac:dyDescent="0.3">
      <c r="A374" s="5"/>
      <c r="B374" s="58" t="s">
        <v>924</v>
      </c>
      <c r="C374" s="88" t="s">
        <v>356</v>
      </c>
      <c r="D374" s="20" t="s">
        <v>357</v>
      </c>
      <c r="E374" s="9">
        <v>2</v>
      </c>
      <c r="F374" s="9" t="s">
        <v>62</v>
      </c>
      <c r="G374" s="5" t="str">
        <f>VLOOKUP('[1]Beban Mengajar'!F366,[1]Dosen!A:B,2)</f>
        <v>Almira Fidela Artha, S.S., M.Hum</v>
      </c>
      <c r="H374" t="s">
        <v>927</v>
      </c>
    </row>
    <row r="375" spans="1:8" hidden="1" x14ac:dyDescent="0.3">
      <c r="A375" s="5"/>
      <c r="B375" s="58" t="s">
        <v>906</v>
      </c>
      <c r="C375" s="82" t="s">
        <v>324</v>
      </c>
      <c r="D375" s="20" t="s">
        <v>325</v>
      </c>
      <c r="E375" s="2">
        <v>2</v>
      </c>
      <c r="F375" s="9" t="s">
        <v>62</v>
      </c>
      <c r="G375" s="5" t="str">
        <f>VLOOKUP('[1]Beban Mengajar'!F367,[1]Dosen!A:B,2)</f>
        <v>Almira Fidela Artha, S.S., M.Hum</v>
      </c>
      <c r="H375" t="s">
        <v>927</v>
      </c>
    </row>
    <row r="376" spans="1:8" hidden="1" x14ac:dyDescent="0.3">
      <c r="A376" s="5"/>
      <c r="B376" s="58" t="s">
        <v>907</v>
      </c>
      <c r="C376" s="82" t="s">
        <v>324</v>
      </c>
      <c r="D376" s="20" t="s">
        <v>325</v>
      </c>
      <c r="E376" s="2">
        <v>2</v>
      </c>
      <c r="F376" s="9" t="s">
        <v>62</v>
      </c>
      <c r="G376" s="5" t="str">
        <f>VLOOKUP('[1]Beban Mengajar'!F368,[1]Dosen!A:B,2)</f>
        <v>Almira Fidela Artha, S.S., M.Hum</v>
      </c>
      <c r="H376" t="s">
        <v>927</v>
      </c>
    </row>
    <row r="377" spans="1:8" hidden="1" x14ac:dyDescent="0.3">
      <c r="A377" s="5"/>
      <c r="B377" s="58" t="s">
        <v>922</v>
      </c>
      <c r="C377" s="82" t="s">
        <v>324</v>
      </c>
      <c r="D377" s="20" t="s">
        <v>325</v>
      </c>
      <c r="E377" s="2">
        <v>2</v>
      </c>
      <c r="F377" s="9" t="s">
        <v>62</v>
      </c>
      <c r="G377" s="5" t="str">
        <f>VLOOKUP('[1]Beban Mengajar'!F369,[1]Dosen!A:B,2)</f>
        <v>Almira Fidela Artha, S.S., M.Hum</v>
      </c>
      <c r="H377" t="s">
        <v>927</v>
      </c>
    </row>
    <row r="378" spans="1:8" hidden="1" x14ac:dyDescent="0.3">
      <c r="A378" s="5"/>
      <c r="B378" s="58" t="s">
        <v>923</v>
      </c>
      <c r="C378" s="82" t="s">
        <v>324</v>
      </c>
      <c r="D378" s="20" t="s">
        <v>325</v>
      </c>
      <c r="E378" s="2">
        <v>2</v>
      </c>
      <c r="F378" s="9" t="s">
        <v>62</v>
      </c>
      <c r="G378" s="5" t="str">
        <f>VLOOKUP('[1]Beban Mengajar'!F370,[1]Dosen!A:B,2)</f>
        <v>Almira Fidela Artha, S.S., M.Hum</v>
      </c>
      <c r="H378" t="s">
        <v>927</v>
      </c>
    </row>
    <row r="379" spans="1:8" hidden="1" x14ac:dyDescent="0.3">
      <c r="A379" s="5"/>
      <c r="B379" s="58" t="s">
        <v>906</v>
      </c>
      <c r="C379" s="96" t="s">
        <v>527</v>
      </c>
      <c r="D379" s="20" t="s">
        <v>323</v>
      </c>
      <c r="E379" s="47">
        <v>2</v>
      </c>
      <c r="F379" s="9" t="s">
        <v>73</v>
      </c>
      <c r="G379" s="5" t="str">
        <f>VLOOKUP('[1]Beban Mengajar'!F371,[1]Dosen!A:B,2)</f>
        <v>Kukuh Yudha Karnanta, S.S, M.A.</v>
      </c>
      <c r="H379" t="s">
        <v>927</v>
      </c>
    </row>
    <row r="380" spans="1:8" hidden="1" x14ac:dyDescent="0.3">
      <c r="A380" s="5"/>
      <c r="B380" s="58" t="s">
        <v>907</v>
      </c>
      <c r="C380" s="96" t="s">
        <v>939</v>
      </c>
      <c r="D380" s="20" t="s">
        <v>323</v>
      </c>
      <c r="E380" s="47">
        <v>2</v>
      </c>
      <c r="F380" s="9" t="s">
        <v>73</v>
      </c>
      <c r="G380" s="5" t="str">
        <f>VLOOKUP('[1]Beban Mengajar'!F372,[1]Dosen!A:B,2)</f>
        <v>Kukuh Yudha Karnanta, S.S, M.A.</v>
      </c>
      <c r="H380" t="s">
        <v>927</v>
      </c>
    </row>
    <row r="381" spans="1:8" hidden="1" x14ac:dyDescent="0.3">
      <c r="A381" s="5"/>
      <c r="B381" s="58" t="s">
        <v>922</v>
      </c>
      <c r="C381" s="96" t="s">
        <v>940</v>
      </c>
      <c r="D381" s="20" t="s">
        <v>323</v>
      </c>
      <c r="E381" s="47">
        <v>2</v>
      </c>
      <c r="F381" s="9" t="s">
        <v>73</v>
      </c>
      <c r="G381" s="5" t="str">
        <f>VLOOKUP('[1]Beban Mengajar'!F373,[1]Dosen!A:B,2)</f>
        <v>Kukuh Yudha Karnanta, S.S, M.A.</v>
      </c>
      <c r="H381" t="s">
        <v>927</v>
      </c>
    </row>
    <row r="382" spans="1:8" hidden="1" x14ac:dyDescent="0.3">
      <c r="A382" s="5"/>
      <c r="B382" s="58" t="s">
        <v>923</v>
      </c>
      <c r="C382" s="96" t="s">
        <v>941</v>
      </c>
      <c r="D382" s="20" t="s">
        <v>323</v>
      </c>
      <c r="E382" s="47">
        <v>2</v>
      </c>
      <c r="F382" s="9" t="s">
        <v>64</v>
      </c>
      <c r="G382" s="5" t="str">
        <f>VLOOKUP('[1]Beban Mengajar'!F374,[1]Dosen!A:B,2)</f>
        <v>Suryadi Kusniawan S.Hum., M.Hum</v>
      </c>
      <c r="H382" t="s">
        <v>927</v>
      </c>
    </row>
    <row r="383" spans="1:8" hidden="1" x14ac:dyDescent="0.3">
      <c r="A383" s="5"/>
      <c r="B383" s="58" t="s">
        <v>924</v>
      </c>
      <c r="C383" s="96" t="s">
        <v>942</v>
      </c>
      <c r="D383" s="20" t="s">
        <v>323</v>
      </c>
      <c r="E383" s="47">
        <v>2</v>
      </c>
      <c r="F383" s="9" t="s">
        <v>64</v>
      </c>
      <c r="G383" s="5" t="str">
        <f>VLOOKUP('[1]Beban Mengajar'!F375,[1]Dosen!A:B,2)</f>
        <v>Suryadi Kusniawan S.Hum., M.Hum</v>
      </c>
      <c r="H383" t="s">
        <v>927</v>
      </c>
    </row>
    <row r="384" spans="1:8" hidden="1" x14ac:dyDescent="0.3">
      <c r="A384" s="5"/>
      <c r="B384" s="58" t="s">
        <v>925</v>
      </c>
      <c r="C384" s="96" t="s">
        <v>943</v>
      </c>
      <c r="D384" s="20" t="s">
        <v>323</v>
      </c>
      <c r="E384" s="47">
        <v>2</v>
      </c>
      <c r="F384" s="9" t="s">
        <v>64</v>
      </c>
      <c r="G384" s="5" t="str">
        <f>VLOOKUP('[1]Beban Mengajar'!F376,[1]Dosen!A:B,2)</f>
        <v>Suryadi Kusniawan S.Hum., M.Hum</v>
      </c>
      <c r="H384" t="s">
        <v>927</v>
      </c>
    </row>
    <row r="385" spans="1:8" hidden="1" x14ac:dyDescent="0.3">
      <c r="A385" s="5"/>
      <c r="B385" s="58" t="s">
        <v>926</v>
      </c>
      <c r="C385" s="96" t="s">
        <v>944</v>
      </c>
      <c r="D385" s="20" t="s">
        <v>323</v>
      </c>
      <c r="E385" s="47">
        <v>2</v>
      </c>
      <c r="F385" s="9" t="s">
        <v>66</v>
      </c>
      <c r="G385" s="5" t="str">
        <f>VLOOKUP('[1]Beban Mengajar'!F377,[1]Dosen!A:B,2)</f>
        <v>Adelia</v>
      </c>
      <c r="H385" t="s">
        <v>927</v>
      </c>
    </row>
    <row r="386" spans="1:8" hidden="1" x14ac:dyDescent="0.3">
      <c r="A386" s="5"/>
      <c r="B386" s="58" t="s">
        <v>928</v>
      </c>
      <c r="C386" s="96" t="s">
        <v>945</v>
      </c>
      <c r="D386" s="20" t="s">
        <v>323</v>
      </c>
      <c r="E386" s="47">
        <v>2</v>
      </c>
      <c r="F386" s="9" t="s">
        <v>66</v>
      </c>
      <c r="G386" s="5" t="str">
        <f>VLOOKUP('[1]Beban Mengajar'!F378,[1]Dosen!A:B,2)</f>
        <v>Adelia</v>
      </c>
      <c r="H386" t="s">
        <v>927</v>
      </c>
    </row>
    <row r="387" spans="1:8" hidden="1" x14ac:dyDescent="0.3">
      <c r="A387" s="5"/>
      <c r="B387" s="58" t="s">
        <v>929</v>
      </c>
      <c r="C387" s="96" t="s">
        <v>946</v>
      </c>
      <c r="D387" s="20" t="s">
        <v>323</v>
      </c>
      <c r="E387" s="47">
        <v>2</v>
      </c>
      <c r="F387" s="9" t="s">
        <v>66</v>
      </c>
      <c r="G387" s="5" t="str">
        <f>VLOOKUP('[1]Beban Mengajar'!F379,[1]Dosen!A:B,2)</f>
        <v>Adelia</v>
      </c>
      <c r="H387" t="s">
        <v>927</v>
      </c>
    </row>
    <row r="388" spans="1:8" hidden="1" x14ac:dyDescent="0.3">
      <c r="A388" s="5"/>
      <c r="B388" s="58" t="s">
        <v>906</v>
      </c>
      <c r="C388" s="88" t="s">
        <v>930</v>
      </c>
      <c r="D388" s="20" t="s">
        <v>931</v>
      </c>
      <c r="E388" s="59">
        <v>3</v>
      </c>
      <c r="F388" s="9" t="s">
        <v>87</v>
      </c>
      <c r="G388" s="5" t="str">
        <f>VLOOKUP('[1]Beban Mengajar'!F380,[1]Dosen!A:B,2)</f>
        <v>Ikhsan Rosyid, S.S., M.Hum</v>
      </c>
      <c r="H388" t="s">
        <v>258</v>
      </c>
    </row>
    <row r="389" spans="1:8" hidden="1" x14ac:dyDescent="0.3">
      <c r="A389" s="5"/>
      <c r="B389" s="58" t="s">
        <v>907</v>
      </c>
      <c r="C389" s="88" t="s">
        <v>930</v>
      </c>
      <c r="D389" s="20" t="s">
        <v>931</v>
      </c>
      <c r="E389" s="59">
        <v>3</v>
      </c>
      <c r="F389" s="9" t="s">
        <v>87</v>
      </c>
      <c r="G389" s="5" t="str">
        <f>VLOOKUP('[1]Beban Mengajar'!F381,[1]Dosen!A:B,2)</f>
        <v>Ikhsan Rosyid, S.S., M.Hum</v>
      </c>
      <c r="H389" t="s">
        <v>258</v>
      </c>
    </row>
    <row r="391" spans="1:8" x14ac:dyDescent="0.3">
      <c r="C391" t="s">
        <v>1024</v>
      </c>
      <c r="D391" s="35" t="s">
        <v>1025</v>
      </c>
    </row>
  </sheetData>
  <autoFilter ref="A1:H389" xr:uid="{00000000-0001-0000-0300-000000000000}">
    <filterColumn colId="7">
      <filters>
        <filter val="Coalmill 101, Coalmill 102"/>
      </filters>
    </filterColumn>
  </autoFilter>
  <conditionalFormatting sqref="C2:C4 C6:C8">
    <cfRule type="duplicateValues" dxfId="63" priority="15"/>
    <cfRule type="duplicateValues" dxfId="62" priority="16"/>
  </conditionalFormatting>
  <conditionalFormatting sqref="C9:C10 C12 C15">
    <cfRule type="duplicateValues" dxfId="61" priority="13"/>
    <cfRule type="duplicateValues" dxfId="60" priority="14"/>
  </conditionalFormatting>
  <conditionalFormatting sqref="C16:C22">
    <cfRule type="duplicateValues" dxfId="59" priority="11"/>
    <cfRule type="duplicateValues" dxfId="58" priority="12"/>
  </conditionalFormatting>
  <conditionalFormatting sqref="C24:C29">
    <cfRule type="duplicateValues" dxfId="57" priority="9"/>
    <cfRule type="duplicateValues" dxfId="56" priority="10"/>
  </conditionalFormatting>
  <conditionalFormatting sqref="C44:C46 C48:C50">
    <cfRule type="duplicateValues" dxfId="55" priority="7"/>
    <cfRule type="duplicateValues" dxfId="54" priority="8"/>
  </conditionalFormatting>
  <conditionalFormatting sqref="C56 C51 C53">
    <cfRule type="duplicateValues" dxfId="53" priority="5"/>
    <cfRule type="duplicateValues" dxfId="52" priority="6"/>
  </conditionalFormatting>
  <conditionalFormatting sqref="C57:C63">
    <cfRule type="duplicateValues" dxfId="51" priority="3"/>
    <cfRule type="duplicateValues" dxfId="50" priority="4"/>
  </conditionalFormatting>
  <conditionalFormatting sqref="C65:C66">
    <cfRule type="duplicateValues" dxfId="49" priority="1"/>
    <cfRule type="duplicateValues" dxfId="48" priority="2"/>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9"/>
  <sheetViews>
    <sheetView workbookViewId="0">
      <selection activeCell="E20" sqref="E20"/>
    </sheetView>
  </sheetViews>
  <sheetFormatPr defaultRowHeight="14.4" x14ac:dyDescent="0.3"/>
  <cols>
    <col min="1" max="1" width="10.88671875" customWidth="1"/>
    <col min="2" max="2" width="33.5546875" customWidth="1"/>
    <col min="3" max="3" width="5.33203125" customWidth="1"/>
  </cols>
  <sheetData>
    <row r="1" spans="1:3" ht="28.8" x14ac:dyDescent="0.3">
      <c r="A1" s="80" t="s">
        <v>306</v>
      </c>
      <c r="B1" s="78" t="s">
        <v>307</v>
      </c>
      <c r="C1" s="78" t="s">
        <v>162</v>
      </c>
    </row>
    <row r="2" spans="1:3" x14ac:dyDescent="0.3">
      <c r="A2" s="82" t="s">
        <v>420</v>
      </c>
      <c r="B2" s="5" t="s">
        <v>421</v>
      </c>
      <c r="C2" s="2">
        <v>2</v>
      </c>
    </row>
    <row r="3" spans="1:3" x14ac:dyDescent="0.3">
      <c r="A3" s="82" t="s">
        <v>332</v>
      </c>
      <c r="B3" s="5" t="s">
        <v>333</v>
      </c>
      <c r="C3" s="47">
        <v>3</v>
      </c>
    </row>
    <row r="4" spans="1:3" x14ac:dyDescent="0.3">
      <c r="A4" s="82" t="s">
        <v>431</v>
      </c>
      <c r="B4" s="5" t="s">
        <v>432</v>
      </c>
      <c r="C4" s="47">
        <v>3</v>
      </c>
    </row>
    <row r="5" spans="1:3" x14ac:dyDescent="0.3">
      <c r="A5" s="82" t="s">
        <v>334</v>
      </c>
      <c r="B5" s="5" t="s">
        <v>335</v>
      </c>
      <c r="C5" s="47">
        <v>3</v>
      </c>
    </row>
    <row r="6" spans="1:3" x14ac:dyDescent="0.3">
      <c r="A6" s="82" t="s">
        <v>700</v>
      </c>
      <c r="B6" s="5" t="s">
        <v>442</v>
      </c>
      <c r="C6" s="47">
        <v>3</v>
      </c>
    </row>
    <row r="7" spans="1:3" x14ac:dyDescent="0.3">
      <c r="A7" s="82" t="s">
        <v>440</v>
      </c>
      <c r="B7" s="5" t="s">
        <v>338</v>
      </c>
      <c r="C7" s="47">
        <v>3</v>
      </c>
    </row>
    <row r="8" spans="1:3" x14ac:dyDescent="0.3">
      <c r="A8" s="82" t="s">
        <v>703</v>
      </c>
      <c r="B8" s="5" t="s">
        <v>704</v>
      </c>
      <c r="C8" s="47">
        <v>3</v>
      </c>
    </row>
    <row r="9" spans="1:3" x14ac:dyDescent="0.3">
      <c r="A9" s="82" t="s">
        <v>705</v>
      </c>
      <c r="B9" s="5" t="s">
        <v>706</v>
      </c>
      <c r="C9" s="47">
        <v>3</v>
      </c>
    </row>
    <row r="10" spans="1:3" x14ac:dyDescent="0.3">
      <c r="A10" s="85" t="s">
        <v>332</v>
      </c>
      <c r="B10" s="5" t="s">
        <v>333</v>
      </c>
      <c r="C10" s="47">
        <v>3</v>
      </c>
    </row>
    <row r="11" spans="1:3" x14ac:dyDescent="0.3">
      <c r="A11" s="82" t="s">
        <v>420</v>
      </c>
      <c r="B11" s="5" t="s">
        <v>421</v>
      </c>
      <c r="C11" s="2">
        <v>2</v>
      </c>
    </row>
    <row r="12" spans="1:3" x14ac:dyDescent="0.3">
      <c r="A12" s="82" t="s">
        <v>332</v>
      </c>
      <c r="B12" s="5" t="s">
        <v>333</v>
      </c>
      <c r="C12" s="47">
        <v>3</v>
      </c>
    </row>
    <row r="13" spans="1:3" x14ac:dyDescent="0.3">
      <c r="A13" s="82" t="s">
        <v>418</v>
      </c>
      <c r="B13" s="5" t="s">
        <v>419</v>
      </c>
      <c r="C13" s="47">
        <v>3</v>
      </c>
    </row>
    <row r="14" spans="1:3" x14ac:dyDescent="0.3">
      <c r="A14" s="82" t="s">
        <v>438</v>
      </c>
      <c r="B14" s="5" t="s">
        <v>439</v>
      </c>
      <c r="C14" s="47">
        <v>3</v>
      </c>
    </row>
    <row r="15" spans="1:3" x14ac:dyDescent="0.3">
      <c r="A15" s="82" t="s">
        <v>438</v>
      </c>
      <c r="B15" s="5" t="s">
        <v>439</v>
      </c>
      <c r="C15" s="47">
        <v>3</v>
      </c>
    </row>
    <row r="16" spans="1:3" x14ac:dyDescent="0.3">
      <c r="A16" s="82" t="s">
        <v>438</v>
      </c>
      <c r="B16" s="5" t="s">
        <v>439</v>
      </c>
      <c r="C16" s="47">
        <v>3</v>
      </c>
    </row>
    <row r="17" spans="1:3" x14ac:dyDescent="0.3">
      <c r="A17" s="82" t="s">
        <v>434</v>
      </c>
      <c r="B17" s="5" t="s">
        <v>435</v>
      </c>
      <c r="C17" s="2">
        <v>2</v>
      </c>
    </row>
    <row r="18" spans="1:3" x14ac:dyDescent="0.3">
      <c r="A18" s="82" t="s">
        <v>443</v>
      </c>
      <c r="B18" s="5" t="s">
        <v>701</v>
      </c>
      <c r="C18" s="47">
        <v>3</v>
      </c>
    </row>
    <row r="19" spans="1:3" x14ac:dyDescent="0.3">
      <c r="A19" s="82" t="s">
        <v>430</v>
      </c>
      <c r="B19" s="5" t="s">
        <v>437</v>
      </c>
      <c r="C19" s="47">
        <v>3</v>
      </c>
    </row>
    <row r="20" spans="1:3" x14ac:dyDescent="0.3">
      <c r="A20" s="82" t="s">
        <v>337</v>
      </c>
      <c r="B20" s="5" t="s">
        <v>441</v>
      </c>
      <c r="C20" s="47">
        <v>3</v>
      </c>
    </row>
    <row r="21" spans="1:3" x14ac:dyDescent="0.3">
      <c r="A21" s="82" t="s">
        <v>328</v>
      </c>
      <c r="B21" s="5" t="s">
        <v>329</v>
      </c>
      <c r="C21" s="47">
        <v>3</v>
      </c>
    </row>
    <row r="22" spans="1:3" x14ac:dyDescent="0.3">
      <c r="A22" s="82" t="s">
        <v>426</v>
      </c>
      <c r="B22" s="5" t="s">
        <v>427</v>
      </c>
      <c r="C22" s="2">
        <v>2</v>
      </c>
    </row>
    <row r="23" spans="1:3" x14ac:dyDescent="0.3">
      <c r="A23" s="82" t="s">
        <v>337</v>
      </c>
      <c r="B23" s="5" t="s">
        <v>441</v>
      </c>
      <c r="C23" s="47">
        <v>3</v>
      </c>
    </row>
    <row r="24" spans="1:3" x14ac:dyDescent="0.3">
      <c r="A24" s="82" t="s">
        <v>337</v>
      </c>
      <c r="B24" s="5" t="s">
        <v>441</v>
      </c>
      <c r="C24" s="47">
        <v>3</v>
      </c>
    </row>
    <row r="25" spans="1:3" x14ac:dyDescent="0.3">
      <c r="A25" s="82" t="s">
        <v>328</v>
      </c>
      <c r="B25" s="5" t="s">
        <v>329</v>
      </c>
      <c r="C25" s="47">
        <v>3</v>
      </c>
    </row>
    <row r="26" spans="1:3" x14ac:dyDescent="0.3">
      <c r="A26" s="82" t="s">
        <v>326</v>
      </c>
      <c r="B26" s="5" t="s">
        <v>327</v>
      </c>
      <c r="C26" s="47">
        <v>3</v>
      </c>
    </row>
    <row r="27" spans="1:3" x14ac:dyDescent="0.3">
      <c r="A27" s="82" t="s">
        <v>326</v>
      </c>
      <c r="B27" s="5" t="s">
        <v>327</v>
      </c>
      <c r="C27" s="47">
        <v>3</v>
      </c>
    </row>
    <row r="28" spans="1:3" x14ac:dyDescent="0.3">
      <c r="A28" s="82" t="s">
        <v>326</v>
      </c>
      <c r="B28" s="5" t="s">
        <v>327</v>
      </c>
      <c r="C28" s="47">
        <v>3</v>
      </c>
    </row>
    <row r="29" spans="1:3" x14ac:dyDescent="0.3">
      <c r="A29" s="82" t="s">
        <v>426</v>
      </c>
      <c r="B29" s="5" t="s">
        <v>427</v>
      </c>
      <c r="C29" s="2">
        <v>2</v>
      </c>
    </row>
    <row r="30" spans="1:3" x14ac:dyDescent="0.3">
      <c r="A30" s="82" t="s">
        <v>426</v>
      </c>
      <c r="B30" s="5" t="s">
        <v>427</v>
      </c>
      <c r="C30" s="2">
        <v>2</v>
      </c>
    </row>
    <row r="31" spans="1:3" x14ac:dyDescent="0.3">
      <c r="A31" s="82" t="s">
        <v>423</v>
      </c>
      <c r="B31" s="5" t="s">
        <v>424</v>
      </c>
      <c r="C31" s="47">
        <v>2</v>
      </c>
    </row>
    <row r="32" spans="1:3" x14ac:dyDescent="0.3">
      <c r="A32" s="82" t="s">
        <v>423</v>
      </c>
      <c r="B32" s="5" t="s">
        <v>424</v>
      </c>
      <c r="C32" s="47">
        <v>2</v>
      </c>
    </row>
    <row r="33" spans="1:3" x14ac:dyDescent="0.3">
      <c r="A33" s="82" t="s">
        <v>334</v>
      </c>
      <c r="B33" s="5" t="s">
        <v>335</v>
      </c>
      <c r="C33" s="47">
        <v>3</v>
      </c>
    </row>
    <row r="34" spans="1:3" x14ac:dyDescent="0.3">
      <c r="A34" s="82" t="s">
        <v>448</v>
      </c>
      <c r="B34" s="5" t="s">
        <v>698</v>
      </c>
      <c r="C34" s="47">
        <v>3</v>
      </c>
    </row>
    <row r="35" spans="1:3" x14ac:dyDescent="0.3">
      <c r="A35" s="82" t="s">
        <v>434</v>
      </c>
      <c r="B35" s="5" t="s">
        <v>435</v>
      </c>
      <c r="C35" s="2">
        <v>2</v>
      </c>
    </row>
    <row r="36" spans="1:3" x14ac:dyDescent="0.3">
      <c r="A36" s="82" t="s">
        <v>434</v>
      </c>
      <c r="B36" s="5" t="s">
        <v>435</v>
      </c>
      <c r="C36" s="2">
        <v>2</v>
      </c>
    </row>
    <row r="37" spans="1:3" x14ac:dyDescent="0.3">
      <c r="A37" s="82" t="s">
        <v>334</v>
      </c>
      <c r="B37" s="5" t="s">
        <v>335</v>
      </c>
      <c r="C37" s="47">
        <v>3</v>
      </c>
    </row>
    <row r="38" spans="1:3" x14ac:dyDescent="0.3">
      <c r="A38" s="82" t="s">
        <v>448</v>
      </c>
      <c r="B38" s="5" t="s">
        <v>698</v>
      </c>
      <c r="C38" s="47">
        <v>3</v>
      </c>
    </row>
    <row r="39" spans="1:3" x14ac:dyDescent="0.3">
      <c r="A39" s="82" t="s">
        <v>418</v>
      </c>
      <c r="B39" s="5" t="s">
        <v>419</v>
      </c>
      <c r="C39" s="47">
        <v>3</v>
      </c>
    </row>
    <row r="40" spans="1:3" x14ac:dyDescent="0.3">
      <c r="A40" s="82" t="s">
        <v>699</v>
      </c>
      <c r="B40" s="5" t="s">
        <v>408</v>
      </c>
      <c r="C40" s="47">
        <v>3</v>
      </c>
    </row>
    <row r="41" spans="1:3" x14ac:dyDescent="0.3">
      <c r="A41" s="82" t="s">
        <v>328</v>
      </c>
      <c r="B41" s="5" t="s">
        <v>329</v>
      </c>
      <c r="C41" s="47">
        <v>3</v>
      </c>
    </row>
    <row r="42" spans="1:3" x14ac:dyDescent="0.3">
      <c r="A42" s="82" t="s">
        <v>418</v>
      </c>
      <c r="B42" s="5" t="s">
        <v>419</v>
      </c>
      <c r="C42" s="47">
        <v>3</v>
      </c>
    </row>
    <row r="43" spans="1:3" x14ac:dyDescent="0.3">
      <c r="A43" s="82" t="s">
        <v>447</v>
      </c>
      <c r="B43" s="5" t="s">
        <v>347</v>
      </c>
      <c r="C43" s="2">
        <v>2</v>
      </c>
    </row>
    <row r="44" spans="1:3" x14ac:dyDescent="0.3">
      <c r="A44" s="82" t="s">
        <v>447</v>
      </c>
      <c r="B44" s="5" t="s">
        <v>347</v>
      </c>
      <c r="C44" s="2">
        <v>2</v>
      </c>
    </row>
    <row r="45" spans="1:3" x14ac:dyDescent="0.3">
      <c r="A45" s="82" t="s">
        <v>433</v>
      </c>
      <c r="B45" s="5" t="s">
        <v>409</v>
      </c>
      <c r="C45" s="47">
        <v>3</v>
      </c>
    </row>
    <row r="46" spans="1:3" x14ac:dyDescent="0.3">
      <c r="A46" s="82" t="s">
        <v>700</v>
      </c>
      <c r="B46" s="5" t="s">
        <v>442</v>
      </c>
      <c r="C46" s="47">
        <v>3</v>
      </c>
    </row>
    <row r="47" spans="1:3" x14ac:dyDescent="0.3">
      <c r="A47" s="82" t="s">
        <v>428</v>
      </c>
      <c r="B47" s="5" t="s">
        <v>429</v>
      </c>
      <c r="C47" s="47">
        <v>3</v>
      </c>
    </row>
    <row r="48" spans="1:3" x14ac:dyDescent="0.3">
      <c r="A48" s="82" t="s">
        <v>436</v>
      </c>
      <c r="B48" s="5" t="s">
        <v>709</v>
      </c>
      <c r="C48" s="47">
        <v>3</v>
      </c>
    </row>
    <row r="49" spans="1:3" x14ac:dyDescent="0.3">
      <c r="A49" s="82" t="s">
        <v>420</v>
      </c>
      <c r="B49" s="5" t="s">
        <v>421</v>
      </c>
      <c r="C49" s="2">
        <v>2</v>
      </c>
    </row>
    <row r="50" spans="1:3" x14ac:dyDescent="0.3">
      <c r="A50" s="82" t="s">
        <v>700</v>
      </c>
      <c r="B50" s="5" t="s">
        <v>442</v>
      </c>
      <c r="C50" s="47">
        <v>3</v>
      </c>
    </row>
    <row r="51" spans="1:3" x14ac:dyDescent="0.3">
      <c r="A51" s="82" t="s">
        <v>444</v>
      </c>
      <c r="B51" s="5" t="s">
        <v>445</v>
      </c>
      <c r="C51" s="47">
        <v>3</v>
      </c>
    </row>
    <row r="52" spans="1:3" x14ac:dyDescent="0.3">
      <c r="A52" s="82" t="s">
        <v>444</v>
      </c>
      <c r="B52" s="5" t="s">
        <v>445</v>
      </c>
      <c r="C52" s="47">
        <v>3</v>
      </c>
    </row>
    <row r="53" spans="1:3" x14ac:dyDescent="0.3">
      <c r="A53" s="82" t="s">
        <v>422</v>
      </c>
      <c r="B53" s="5" t="s">
        <v>399</v>
      </c>
      <c r="C53" s="47">
        <v>3</v>
      </c>
    </row>
    <row r="54" spans="1:3" x14ac:dyDescent="0.3">
      <c r="A54" s="82" t="s">
        <v>422</v>
      </c>
      <c r="B54" s="5" t="s">
        <v>399</v>
      </c>
      <c r="C54" s="47">
        <v>3</v>
      </c>
    </row>
    <row r="55" spans="1:3" x14ac:dyDescent="0.3">
      <c r="A55" s="82" t="s">
        <v>440</v>
      </c>
      <c r="B55" s="5" t="s">
        <v>338</v>
      </c>
      <c r="C55" s="47">
        <v>3</v>
      </c>
    </row>
    <row r="56" spans="1:3" x14ac:dyDescent="0.3">
      <c r="A56" s="82" t="s">
        <v>433</v>
      </c>
      <c r="B56" s="5" t="s">
        <v>409</v>
      </c>
      <c r="C56" s="47">
        <v>3</v>
      </c>
    </row>
    <row r="57" spans="1:3" x14ac:dyDescent="0.3">
      <c r="A57" s="82" t="s">
        <v>440</v>
      </c>
      <c r="B57" s="5" t="s">
        <v>338</v>
      </c>
      <c r="C57" s="47">
        <v>3</v>
      </c>
    </row>
    <row r="58" spans="1:3" x14ac:dyDescent="0.3">
      <c r="A58" s="82" t="s">
        <v>433</v>
      </c>
      <c r="B58" s="5" t="s">
        <v>409</v>
      </c>
      <c r="C58" s="47">
        <v>3</v>
      </c>
    </row>
    <row r="59" spans="1:3" x14ac:dyDescent="0.3">
      <c r="A59" s="47" t="s">
        <v>699</v>
      </c>
      <c r="B59" s="5" t="s">
        <v>408</v>
      </c>
      <c r="C59" s="47">
        <v>3</v>
      </c>
    </row>
    <row r="60" spans="1:3" x14ac:dyDescent="0.3">
      <c r="A60" s="82" t="s">
        <v>699</v>
      </c>
      <c r="B60" s="5" t="s">
        <v>408</v>
      </c>
      <c r="C60" s="47">
        <v>3</v>
      </c>
    </row>
    <row r="61" spans="1:3" x14ac:dyDescent="0.3">
      <c r="A61" s="82" t="s">
        <v>702</v>
      </c>
      <c r="B61" s="5" t="s">
        <v>446</v>
      </c>
      <c r="C61" s="47">
        <v>3</v>
      </c>
    </row>
    <row r="62" spans="1:3" x14ac:dyDescent="0.3">
      <c r="A62" s="82" t="s">
        <v>444</v>
      </c>
      <c r="B62" s="5" t="s">
        <v>445</v>
      </c>
      <c r="C62" s="47">
        <v>3</v>
      </c>
    </row>
    <row r="63" spans="1:3" x14ac:dyDescent="0.3">
      <c r="A63" s="82" t="s">
        <v>447</v>
      </c>
      <c r="B63" s="5" t="s">
        <v>347</v>
      </c>
      <c r="C63" s="2">
        <v>2</v>
      </c>
    </row>
    <row r="64" spans="1:3" x14ac:dyDescent="0.3">
      <c r="A64" s="82" t="s">
        <v>702</v>
      </c>
      <c r="B64" s="5" t="s">
        <v>446</v>
      </c>
      <c r="C64" s="47">
        <v>3</v>
      </c>
    </row>
    <row r="65" spans="1:3" x14ac:dyDescent="0.3">
      <c r="A65" s="82" t="s">
        <v>702</v>
      </c>
      <c r="B65" s="5" t="s">
        <v>446</v>
      </c>
      <c r="C65" s="47">
        <v>3</v>
      </c>
    </row>
    <row r="66" spans="1:3" x14ac:dyDescent="0.3">
      <c r="A66" s="82" t="s">
        <v>448</v>
      </c>
      <c r="B66" s="5" t="s">
        <v>698</v>
      </c>
      <c r="C66" s="47">
        <v>3</v>
      </c>
    </row>
    <row r="67" spans="1:3" x14ac:dyDescent="0.3">
      <c r="A67" s="82" t="s">
        <v>443</v>
      </c>
      <c r="B67" s="5" t="s">
        <v>701</v>
      </c>
      <c r="C67" s="47">
        <v>3</v>
      </c>
    </row>
    <row r="68" spans="1:3" x14ac:dyDescent="0.3">
      <c r="A68" s="82" t="s">
        <v>430</v>
      </c>
      <c r="B68" s="5" t="s">
        <v>437</v>
      </c>
      <c r="C68" s="47">
        <v>3</v>
      </c>
    </row>
    <row r="69" spans="1:3" x14ac:dyDescent="0.3">
      <c r="A69" s="82" t="s">
        <v>707</v>
      </c>
      <c r="B69" s="5" t="s">
        <v>708</v>
      </c>
      <c r="C69" s="47">
        <v>3</v>
      </c>
    </row>
    <row r="70" spans="1:3" x14ac:dyDescent="0.3">
      <c r="A70" s="82" t="s">
        <v>957</v>
      </c>
      <c r="B70" s="5" t="s">
        <v>341</v>
      </c>
      <c r="C70" s="47">
        <v>3</v>
      </c>
    </row>
    <row r="71" spans="1:3" x14ac:dyDescent="0.3">
      <c r="A71" s="82" t="s">
        <v>443</v>
      </c>
      <c r="B71" s="5" t="s">
        <v>701</v>
      </c>
      <c r="C71" s="47">
        <v>3</v>
      </c>
    </row>
    <row r="72" spans="1:3" x14ac:dyDescent="0.3">
      <c r="A72" s="82" t="s">
        <v>430</v>
      </c>
      <c r="B72" s="5" t="s">
        <v>437</v>
      </c>
      <c r="C72" s="47">
        <v>3</v>
      </c>
    </row>
    <row r="73" spans="1:3" x14ac:dyDescent="0.3">
      <c r="A73" s="82" t="s">
        <v>328</v>
      </c>
      <c r="B73" s="5" t="s">
        <v>329</v>
      </c>
      <c r="C73" s="9">
        <v>3</v>
      </c>
    </row>
    <row r="74" spans="1:3" x14ac:dyDescent="0.3">
      <c r="A74" s="82" t="s">
        <v>326</v>
      </c>
      <c r="B74" s="5" t="s">
        <v>327</v>
      </c>
      <c r="C74" s="9">
        <v>3</v>
      </c>
    </row>
    <row r="75" spans="1:3" x14ac:dyDescent="0.3">
      <c r="A75" s="82" t="s">
        <v>309</v>
      </c>
      <c r="B75" s="5" t="s">
        <v>310</v>
      </c>
      <c r="C75" s="9">
        <v>3</v>
      </c>
    </row>
    <row r="76" spans="1:3" x14ac:dyDescent="0.3">
      <c r="A76" s="82" t="s">
        <v>334</v>
      </c>
      <c r="B76" s="5" t="s">
        <v>335</v>
      </c>
      <c r="C76" s="9">
        <v>3</v>
      </c>
    </row>
    <row r="77" spans="1:3" x14ac:dyDescent="0.3">
      <c r="A77" s="82" t="s">
        <v>348</v>
      </c>
      <c r="B77" s="5" t="s">
        <v>349</v>
      </c>
      <c r="C77" s="9">
        <v>3</v>
      </c>
    </row>
    <row r="78" spans="1:3" x14ac:dyDescent="0.3">
      <c r="A78" s="82" t="s">
        <v>337</v>
      </c>
      <c r="B78" s="5" t="s">
        <v>338</v>
      </c>
      <c r="C78" s="9">
        <v>3</v>
      </c>
    </row>
    <row r="79" spans="1:3" x14ac:dyDescent="0.3">
      <c r="A79" s="82" t="s">
        <v>354</v>
      </c>
      <c r="B79" s="5" t="s">
        <v>355</v>
      </c>
      <c r="C79" s="9">
        <v>3</v>
      </c>
    </row>
    <row r="80" spans="1:3" x14ac:dyDescent="0.3">
      <c r="A80" s="82" t="s">
        <v>332</v>
      </c>
      <c r="B80" s="5" t="s">
        <v>333</v>
      </c>
      <c r="C80" s="9">
        <v>3</v>
      </c>
    </row>
    <row r="81" spans="1:3" x14ac:dyDescent="0.3">
      <c r="A81" s="82" t="s">
        <v>315</v>
      </c>
      <c r="B81" s="5" t="s">
        <v>316</v>
      </c>
      <c r="C81" s="9">
        <v>3</v>
      </c>
    </row>
    <row r="82" spans="1:3" x14ac:dyDescent="0.3">
      <c r="A82" s="82" t="s">
        <v>317</v>
      </c>
      <c r="B82" s="5" t="s">
        <v>318</v>
      </c>
      <c r="C82" s="9">
        <v>3</v>
      </c>
    </row>
    <row r="83" spans="1:3" x14ac:dyDescent="0.3">
      <c r="A83" s="82" t="s">
        <v>711</v>
      </c>
      <c r="B83" s="5" t="s">
        <v>321</v>
      </c>
      <c r="C83" s="9">
        <v>2</v>
      </c>
    </row>
    <row r="84" spans="1:3" x14ac:dyDescent="0.3">
      <c r="A84" s="82" t="s">
        <v>319</v>
      </c>
      <c r="B84" s="5" t="s">
        <v>320</v>
      </c>
      <c r="C84" s="9">
        <v>3</v>
      </c>
    </row>
    <row r="85" spans="1:3" x14ac:dyDescent="0.3">
      <c r="A85" s="82" t="s">
        <v>344</v>
      </c>
      <c r="B85" s="5" t="s">
        <v>345</v>
      </c>
      <c r="C85" s="9">
        <v>2</v>
      </c>
    </row>
    <row r="86" spans="1:3" x14ac:dyDescent="0.3">
      <c r="A86" s="82" t="s">
        <v>313</v>
      </c>
      <c r="B86" s="5" t="s">
        <v>314</v>
      </c>
      <c r="C86" s="9">
        <v>3</v>
      </c>
    </row>
    <row r="87" spans="1:3" x14ac:dyDescent="0.3">
      <c r="A87" s="82" t="s">
        <v>342</v>
      </c>
      <c r="B87" s="5" t="s">
        <v>343</v>
      </c>
      <c r="C87" s="9">
        <v>3</v>
      </c>
    </row>
    <row r="88" spans="1:3" x14ac:dyDescent="0.3">
      <c r="A88" s="82" t="s">
        <v>339</v>
      </c>
      <c r="B88" s="5" t="s">
        <v>340</v>
      </c>
      <c r="C88" s="9">
        <v>3</v>
      </c>
    </row>
    <row r="89" spans="1:3" x14ac:dyDescent="0.3">
      <c r="A89" s="82" t="s">
        <v>350</v>
      </c>
      <c r="B89" s="5" t="s">
        <v>351</v>
      </c>
      <c r="C89" s="9">
        <v>3</v>
      </c>
    </row>
    <row r="90" spans="1:3" x14ac:dyDescent="0.3">
      <c r="A90" s="82" t="s">
        <v>346</v>
      </c>
      <c r="B90" s="5" t="s">
        <v>347</v>
      </c>
      <c r="C90" s="9">
        <v>3</v>
      </c>
    </row>
    <row r="91" spans="1:3" x14ac:dyDescent="0.3">
      <c r="A91" s="86" t="s">
        <v>712</v>
      </c>
      <c r="B91" s="56" t="s">
        <v>713</v>
      </c>
      <c r="C91" s="9">
        <v>3</v>
      </c>
    </row>
    <row r="92" spans="1:3" x14ac:dyDescent="0.3">
      <c r="A92" s="86" t="s">
        <v>330</v>
      </c>
      <c r="B92" s="56" t="s">
        <v>331</v>
      </c>
      <c r="C92" s="9">
        <v>3</v>
      </c>
    </row>
    <row r="93" spans="1:3" x14ac:dyDescent="0.3">
      <c r="A93" s="86" t="s">
        <v>311</v>
      </c>
      <c r="B93" s="56" t="s">
        <v>312</v>
      </c>
      <c r="C93" s="9">
        <v>3</v>
      </c>
    </row>
    <row r="94" spans="1:3" x14ac:dyDescent="0.3">
      <c r="A94" s="82" t="s">
        <v>328</v>
      </c>
      <c r="B94" s="5" t="s">
        <v>329</v>
      </c>
      <c r="C94" s="9">
        <v>3</v>
      </c>
    </row>
    <row r="95" spans="1:3" x14ac:dyDescent="0.3">
      <c r="A95" s="82" t="s">
        <v>326</v>
      </c>
      <c r="B95" s="5" t="s">
        <v>327</v>
      </c>
      <c r="C95" s="9">
        <v>3</v>
      </c>
    </row>
    <row r="96" spans="1:3" x14ac:dyDescent="0.3">
      <c r="A96" s="82" t="s">
        <v>309</v>
      </c>
      <c r="B96" s="5" t="s">
        <v>310</v>
      </c>
      <c r="C96" s="9">
        <v>3</v>
      </c>
    </row>
    <row r="97" spans="1:3" x14ac:dyDescent="0.3">
      <c r="A97" s="82" t="s">
        <v>334</v>
      </c>
      <c r="B97" s="5" t="s">
        <v>335</v>
      </c>
      <c r="C97" s="9">
        <v>3</v>
      </c>
    </row>
    <row r="98" spans="1:3" x14ac:dyDescent="0.3">
      <c r="A98" s="82" t="s">
        <v>348</v>
      </c>
      <c r="B98" s="5" t="s">
        <v>349</v>
      </c>
      <c r="C98" s="9">
        <v>3</v>
      </c>
    </row>
    <row r="99" spans="1:3" x14ac:dyDescent="0.3">
      <c r="A99" s="82" t="s">
        <v>337</v>
      </c>
      <c r="B99" s="5" t="s">
        <v>338</v>
      </c>
      <c r="C99" s="9">
        <v>3</v>
      </c>
    </row>
    <row r="100" spans="1:3" x14ac:dyDescent="0.3">
      <c r="A100" s="82" t="s">
        <v>354</v>
      </c>
      <c r="B100" s="5" t="s">
        <v>355</v>
      </c>
      <c r="C100" s="9">
        <v>3</v>
      </c>
    </row>
    <row r="101" spans="1:3" x14ac:dyDescent="0.3">
      <c r="A101" s="82" t="s">
        <v>332</v>
      </c>
      <c r="B101" s="5" t="s">
        <v>333</v>
      </c>
      <c r="C101" s="9">
        <v>3</v>
      </c>
    </row>
    <row r="102" spans="1:3" x14ac:dyDescent="0.3">
      <c r="A102" s="82" t="s">
        <v>315</v>
      </c>
      <c r="B102" s="5" t="s">
        <v>316</v>
      </c>
      <c r="C102" s="9">
        <v>3</v>
      </c>
    </row>
    <row r="103" spans="1:3" x14ac:dyDescent="0.3">
      <c r="A103" s="82" t="s">
        <v>317</v>
      </c>
      <c r="B103" s="5" t="s">
        <v>318</v>
      </c>
      <c r="C103" s="9">
        <v>3</v>
      </c>
    </row>
    <row r="104" spans="1:3" x14ac:dyDescent="0.3">
      <c r="A104" s="82" t="s">
        <v>319</v>
      </c>
      <c r="B104" s="5" t="s">
        <v>320</v>
      </c>
      <c r="C104" s="9">
        <v>3</v>
      </c>
    </row>
    <row r="105" spans="1:3" x14ac:dyDescent="0.3">
      <c r="A105" s="82" t="s">
        <v>344</v>
      </c>
      <c r="B105" s="5" t="s">
        <v>345</v>
      </c>
      <c r="C105" s="9">
        <v>2</v>
      </c>
    </row>
    <row r="106" spans="1:3" x14ac:dyDescent="0.3">
      <c r="A106" s="82" t="s">
        <v>313</v>
      </c>
      <c r="B106" s="5" t="s">
        <v>314</v>
      </c>
      <c r="C106" s="9">
        <v>3</v>
      </c>
    </row>
    <row r="107" spans="1:3" x14ac:dyDescent="0.3">
      <c r="A107" s="82" t="s">
        <v>342</v>
      </c>
      <c r="B107" s="5" t="s">
        <v>343</v>
      </c>
      <c r="C107" s="9">
        <v>3</v>
      </c>
    </row>
    <row r="108" spans="1:3" x14ac:dyDescent="0.3">
      <c r="A108" s="82" t="s">
        <v>339</v>
      </c>
      <c r="B108" s="5" t="s">
        <v>340</v>
      </c>
      <c r="C108" s="9">
        <v>3</v>
      </c>
    </row>
    <row r="109" spans="1:3" x14ac:dyDescent="0.3">
      <c r="A109" s="82" t="s">
        <v>350</v>
      </c>
      <c r="B109" s="5" t="s">
        <v>351</v>
      </c>
      <c r="C109" s="9">
        <v>3</v>
      </c>
    </row>
    <row r="110" spans="1:3" x14ac:dyDescent="0.3">
      <c r="A110" s="82" t="s">
        <v>346</v>
      </c>
      <c r="B110" s="5" t="s">
        <v>347</v>
      </c>
      <c r="C110" s="9">
        <v>3</v>
      </c>
    </row>
    <row r="111" spans="1:3" x14ac:dyDescent="0.3">
      <c r="A111" s="82" t="s">
        <v>328</v>
      </c>
      <c r="B111" s="5" t="s">
        <v>329</v>
      </c>
      <c r="C111" s="2">
        <v>3</v>
      </c>
    </row>
    <row r="112" spans="1:3" x14ac:dyDescent="0.3">
      <c r="A112" s="82" t="s">
        <v>397</v>
      </c>
      <c r="B112" s="5" t="s">
        <v>398</v>
      </c>
      <c r="C112" s="2">
        <v>2</v>
      </c>
    </row>
    <row r="113" spans="1:3" x14ac:dyDescent="0.3">
      <c r="A113" s="82" t="s">
        <v>410</v>
      </c>
      <c r="B113" s="5" t="s">
        <v>411</v>
      </c>
      <c r="C113" s="2">
        <v>3</v>
      </c>
    </row>
    <row r="114" spans="1:3" x14ac:dyDescent="0.3">
      <c r="A114" s="82" t="s">
        <v>326</v>
      </c>
      <c r="B114" s="5" t="s">
        <v>403</v>
      </c>
      <c r="C114" s="2">
        <v>3</v>
      </c>
    </row>
    <row r="115" spans="1:3" x14ac:dyDescent="0.3">
      <c r="A115" s="82" t="s">
        <v>401</v>
      </c>
      <c r="B115" s="5" t="s">
        <v>402</v>
      </c>
      <c r="C115" s="2">
        <v>3</v>
      </c>
    </row>
    <row r="116" spans="1:3" x14ac:dyDescent="0.3">
      <c r="A116" s="82" t="s">
        <v>394</v>
      </c>
      <c r="B116" s="5" t="s">
        <v>395</v>
      </c>
      <c r="C116" s="2">
        <v>3</v>
      </c>
    </row>
    <row r="117" spans="1:3" x14ac:dyDescent="0.3">
      <c r="A117" s="87" t="s">
        <v>714</v>
      </c>
      <c r="B117" s="5" t="s">
        <v>414</v>
      </c>
      <c r="C117" s="2">
        <v>3</v>
      </c>
    </row>
    <row r="118" spans="1:3" x14ac:dyDescent="0.3">
      <c r="A118" s="87" t="s">
        <v>354</v>
      </c>
      <c r="B118" s="5" t="s">
        <v>355</v>
      </c>
      <c r="C118" s="2">
        <v>3</v>
      </c>
    </row>
    <row r="119" spans="1:3" x14ac:dyDescent="0.3">
      <c r="A119" s="87" t="s">
        <v>715</v>
      </c>
      <c r="B119" s="5" t="s">
        <v>333</v>
      </c>
      <c r="C119" s="2">
        <v>3</v>
      </c>
    </row>
    <row r="120" spans="1:3" x14ac:dyDescent="0.3">
      <c r="A120" s="82" t="s">
        <v>716</v>
      </c>
      <c r="B120" s="5" t="s">
        <v>717</v>
      </c>
      <c r="C120" s="2">
        <v>3</v>
      </c>
    </row>
    <row r="121" spans="1:3" x14ac:dyDescent="0.3">
      <c r="A121" s="82" t="s">
        <v>718</v>
      </c>
      <c r="B121" s="5" t="s">
        <v>412</v>
      </c>
      <c r="C121" s="2">
        <v>3</v>
      </c>
    </row>
    <row r="122" spans="1:3" x14ac:dyDescent="0.3">
      <c r="A122" s="82" t="s">
        <v>719</v>
      </c>
      <c r="B122" s="5" t="s">
        <v>396</v>
      </c>
      <c r="C122" s="2">
        <v>3</v>
      </c>
    </row>
    <row r="123" spans="1:3" x14ac:dyDescent="0.3">
      <c r="A123" s="82" t="s">
        <v>720</v>
      </c>
      <c r="B123" s="5" t="s">
        <v>415</v>
      </c>
      <c r="C123" s="2">
        <v>3</v>
      </c>
    </row>
    <row r="124" spans="1:3" x14ac:dyDescent="0.3">
      <c r="A124" s="87" t="s">
        <v>721</v>
      </c>
      <c r="B124" s="5" t="s">
        <v>722</v>
      </c>
      <c r="C124" s="2">
        <v>3</v>
      </c>
    </row>
    <row r="125" spans="1:3" x14ac:dyDescent="0.3">
      <c r="A125" s="82" t="s">
        <v>723</v>
      </c>
      <c r="B125" s="5" t="s">
        <v>400</v>
      </c>
      <c r="C125" s="2">
        <v>3</v>
      </c>
    </row>
    <row r="126" spans="1:3" x14ac:dyDescent="0.3">
      <c r="A126" s="82" t="s">
        <v>724</v>
      </c>
      <c r="B126" s="5" t="s">
        <v>725</v>
      </c>
      <c r="C126" s="2">
        <v>3</v>
      </c>
    </row>
    <row r="127" spans="1:3" x14ac:dyDescent="0.3">
      <c r="A127" s="82" t="s">
        <v>726</v>
      </c>
      <c r="B127" s="5" t="s">
        <v>399</v>
      </c>
      <c r="C127" s="2">
        <v>3</v>
      </c>
    </row>
    <row r="128" spans="1:3" x14ac:dyDescent="0.3">
      <c r="A128" s="82" t="s">
        <v>727</v>
      </c>
      <c r="B128" s="20" t="s">
        <v>728</v>
      </c>
      <c r="C128" s="2">
        <v>3</v>
      </c>
    </row>
    <row r="129" spans="1:3" x14ac:dyDescent="0.3">
      <c r="A129" s="82" t="s">
        <v>729</v>
      </c>
      <c r="B129" s="5" t="s">
        <v>407</v>
      </c>
      <c r="C129" s="2">
        <v>3</v>
      </c>
    </row>
    <row r="130" spans="1:3" x14ac:dyDescent="0.3">
      <c r="A130" s="82" t="s">
        <v>730</v>
      </c>
      <c r="B130" s="5" t="s">
        <v>731</v>
      </c>
      <c r="C130" s="2">
        <v>3</v>
      </c>
    </row>
    <row r="131" spans="1:3" x14ac:dyDescent="0.3">
      <c r="A131" s="82" t="s">
        <v>723</v>
      </c>
      <c r="B131" s="5" t="s">
        <v>400</v>
      </c>
      <c r="C131" s="2">
        <v>3</v>
      </c>
    </row>
    <row r="132" spans="1:3" x14ac:dyDescent="0.3">
      <c r="A132" s="82" t="s">
        <v>724</v>
      </c>
      <c r="B132" s="5" t="s">
        <v>725</v>
      </c>
      <c r="C132" s="2">
        <v>3</v>
      </c>
    </row>
    <row r="133" spans="1:3" x14ac:dyDescent="0.3">
      <c r="A133" s="82" t="s">
        <v>730</v>
      </c>
      <c r="B133" s="5" t="s">
        <v>731</v>
      </c>
      <c r="C133" s="2">
        <v>3</v>
      </c>
    </row>
    <row r="134" spans="1:3" x14ac:dyDescent="0.3">
      <c r="A134" s="88" t="s">
        <v>454</v>
      </c>
      <c r="B134" s="20" t="s">
        <v>733</v>
      </c>
      <c r="C134" s="59">
        <v>3</v>
      </c>
    </row>
    <row r="135" spans="1:3" x14ac:dyDescent="0.3">
      <c r="A135" s="89" t="s">
        <v>453</v>
      </c>
      <c r="B135" s="20" t="s">
        <v>734</v>
      </c>
      <c r="C135" s="59">
        <v>2</v>
      </c>
    </row>
    <row r="136" spans="1:3" x14ac:dyDescent="0.3">
      <c r="A136" s="89" t="s">
        <v>990</v>
      </c>
      <c r="B136" s="20" t="s">
        <v>991</v>
      </c>
      <c r="C136" s="59">
        <v>3</v>
      </c>
    </row>
    <row r="137" spans="1:3" x14ac:dyDescent="0.3">
      <c r="A137" s="89" t="s">
        <v>457</v>
      </c>
      <c r="B137" s="20" t="s">
        <v>735</v>
      </c>
      <c r="C137" s="59">
        <v>2</v>
      </c>
    </row>
    <row r="138" spans="1:3" x14ac:dyDescent="0.3">
      <c r="A138" s="89" t="s">
        <v>992</v>
      </c>
      <c r="B138" s="20" t="s">
        <v>993</v>
      </c>
      <c r="C138" s="59">
        <v>4</v>
      </c>
    </row>
    <row r="139" spans="1:3" x14ac:dyDescent="0.3">
      <c r="A139" s="90" t="s">
        <v>463</v>
      </c>
      <c r="B139" s="20" t="s">
        <v>736</v>
      </c>
      <c r="C139" s="59">
        <v>3</v>
      </c>
    </row>
    <row r="140" spans="1:3" x14ac:dyDescent="0.3">
      <c r="A140" s="91" t="s">
        <v>465</v>
      </c>
      <c r="B140" s="20" t="s">
        <v>737</v>
      </c>
      <c r="C140" s="59">
        <v>2</v>
      </c>
    </row>
    <row r="141" spans="1:3" x14ac:dyDescent="0.3">
      <c r="A141" s="91" t="s">
        <v>467</v>
      </c>
      <c r="B141" s="20" t="s">
        <v>738</v>
      </c>
      <c r="C141" s="9">
        <v>2</v>
      </c>
    </row>
    <row r="142" spans="1:3" x14ac:dyDescent="0.3">
      <c r="A142" s="91" t="s">
        <v>462</v>
      </c>
      <c r="B142" s="20" t="s">
        <v>739</v>
      </c>
      <c r="C142" s="59">
        <v>3</v>
      </c>
    </row>
    <row r="143" spans="1:3" x14ac:dyDescent="0.3">
      <c r="A143" s="92" t="s">
        <v>471</v>
      </c>
      <c r="B143" s="20" t="s">
        <v>740</v>
      </c>
      <c r="C143" s="59">
        <v>3</v>
      </c>
    </row>
    <row r="144" spans="1:3" x14ac:dyDescent="0.3">
      <c r="A144" s="91" t="s">
        <v>472</v>
      </c>
      <c r="B144" s="20" t="s">
        <v>741</v>
      </c>
      <c r="C144" s="59">
        <v>3</v>
      </c>
    </row>
    <row r="145" spans="1:3" x14ac:dyDescent="0.3">
      <c r="A145" s="89" t="s">
        <v>742</v>
      </c>
      <c r="B145" s="20" t="s">
        <v>743</v>
      </c>
      <c r="C145" s="59">
        <v>3</v>
      </c>
    </row>
    <row r="146" spans="1:3" x14ac:dyDescent="0.3">
      <c r="A146" s="89" t="s">
        <v>452</v>
      </c>
      <c r="B146" s="20" t="s">
        <v>744</v>
      </c>
      <c r="C146" s="59">
        <v>3</v>
      </c>
    </row>
    <row r="147" spans="1:3" x14ac:dyDescent="0.3">
      <c r="A147" s="91" t="s">
        <v>466</v>
      </c>
      <c r="B147" s="20" t="s">
        <v>745</v>
      </c>
      <c r="C147" s="9">
        <v>2</v>
      </c>
    </row>
    <row r="148" spans="1:3" x14ac:dyDescent="0.3">
      <c r="A148" s="91" t="s">
        <v>468</v>
      </c>
      <c r="B148" s="20" t="s">
        <v>748</v>
      </c>
      <c r="C148" s="59">
        <v>3</v>
      </c>
    </row>
    <row r="149" spans="1:3" x14ac:dyDescent="0.3">
      <c r="A149" s="92" t="s">
        <v>470</v>
      </c>
      <c r="B149" s="20" t="s">
        <v>749</v>
      </c>
      <c r="C149" s="59">
        <v>3</v>
      </c>
    </row>
    <row r="150" spans="1:3" x14ac:dyDescent="0.3">
      <c r="A150" s="91" t="s">
        <v>450</v>
      </c>
      <c r="B150" s="20" t="s">
        <v>750</v>
      </c>
      <c r="C150" s="59">
        <v>3</v>
      </c>
    </row>
    <row r="151" spans="1:3" x14ac:dyDescent="0.3">
      <c r="A151" s="89" t="s">
        <v>461</v>
      </c>
      <c r="B151" s="20" t="s">
        <v>751</v>
      </c>
      <c r="C151" s="59">
        <v>3</v>
      </c>
    </row>
    <row r="152" spans="1:3" x14ac:dyDescent="0.3">
      <c r="A152" s="91" t="s">
        <v>459</v>
      </c>
      <c r="B152" s="20" t="s">
        <v>752</v>
      </c>
      <c r="C152" s="9">
        <v>2</v>
      </c>
    </row>
    <row r="153" spans="1:3" x14ac:dyDescent="0.3">
      <c r="A153" s="91" t="s">
        <v>469</v>
      </c>
      <c r="B153" s="20" t="s">
        <v>753</v>
      </c>
      <c r="C153" s="59">
        <v>3</v>
      </c>
    </row>
    <row r="154" spans="1:3" x14ac:dyDescent="0.3">
      <c r="A154" s="92" t="s">
        <v>464</v>
      </c>
      <c r="B154" s="20" t="s">
        <v>754</v>
      </c>
      <c r="C154" s="59">
        <v>3</v>
      </c>
    </row>
    <row r="155" spans="1:3" x14ac:dyDescent="0.3">
      <c r="A155" s="92" t="s">
        <v>449</v>
      </c>
      <c r="B155" s="20" t="s">
        <v>755</v>
      </c>
      <c r="C155" s="59">
        <v>3</v>
      </c>
    </row>
    <row r="156" spans="1:3" x14ac:dyDescent="0.3">
      <c r="A156" s="92" t="s">
        <v>456</v>
      </c>
      <c r="B156" s="20" t="s">
        <v>756</v>
      </c>
      <c r="C156" s="59">
        <v>3</v>
      </c>
    </row>
    <row r="157" spans="1:3" x14ac:dyDescent="0.3">
      <c r="A157" s="101" t="s">
        <v>956</v>
      </c>
      <c r="B157" s="20" t="s">
        <v>757</v>
      </c>
      <c r="C157" s="59">
        <v>3</v>
      </c>
    </row>
    <row r="158" spans="1:3" x14ac:dyDescent="0.3">
      <c r="A158" s="92"/>
      <c r="B158" s="58" t="s">
        <v>758</v>
      </c>
      <c r="C158" s="59">
        <v>3</v>
      </c>
    </row>
    <row r="159" spans="1:3" x14ac:dyDescent="0.3">
      <c r="A159" s="92"/>
      <c r="B159" s="20" t="s">
        <v>759</v>
      </c>
      <c r="C159" s="59">
        <v>3</v>
      </c>
    </row>
    <row r="160" spans="1:3" x14ac:dyDescent="0.3">
      <c r="A160" s="91" t="s">
        <v>468</v>
      </c>
      <c r="B160" s="20" t="s">
        <v>748</v>
      </c>
      <c r="C160" s="59">
        <v>3</v>
      </c>
    </row>
    <row r="161" spans="1:3" x14ac:dyDescent="0.3">
      <c r="A161" s="93" t="s">
        <v>585</v>
      </c>
      <c r="B161" s="44" t="s">
        <v>586</v>
      </c>
      <c r="C161" s="43">
        <v>3</v>
      </c>
    </row>
    <row r="162" spans="1:3" x14ac:dyDescent="0.3">
      <c r="A162" s="93" t="s">
        <v>760</v>
      </c>
      <c r="B162" s="44" t="s">
        <v>761</v>
      </c>
      <c r="C162" s="43" t="s">
        <v>873</v>
      </c>
    </row>
    <row r="163" spans="1:3" x14ac:dyDescent="0.3">
      <c r="A163" s="93" t="s">
        <v>760</v>
      </c>
      <c r="B163" s="44" t="s">
        <v>761</v>
      </c>
      <c r="C163" s="43" t="s">
        <v>873</v>
      </c>
    </row>
    <row r="164" spans="1:3" x14ac:dyDescent="0.3">
      <c r="A164" s="93" t="s">
        <v>762</v>
      </c>
      <c r="B164" s="44" t="s">
        <v>535</v>
      </c>
      <c r="C164" s="43">
        <v>2</v>
      </c>
    </row>
    <row r="165" spans="1:3" x14ac:dyDescent="0.3">
      <c r="A165" s="93" t="s">
        <v>571</v>
      </c>
      <c r="B165" s="44" t="s">
        <v>536</v>
      </c>
      <c r="C165" s="43">
        <v>3</v>
      </c>
    </row>
    <row r="166" spans="1:3" x14ac:dyDescent="0.3">
      <c r="A166" s="93" t="s">
        <v>763</v>
      </c>
      <c r="B166" s="44" t="s">
        <v>567</v>
      </c>
      <c r="C166" s="43" t="s">
        <v>880</v>
      </c>
    </row>
    <row r="167" spans="1:3" x14ac:dyDescent="0.3">
      <c r="A167" s="93" t="s">
        <v>994</v>
      </c>
      <c r="B167" s="44" t="s">
        <v>991</v>
      </c>
      <c r="C167" s="43" t="s">
        <v>995</v>
      </c>
    </row>
    <row r="168" spans="1:3" x14ac:dyDescent="0.3">
      <c r="A168" s="93" t="s">
        <v>764</v>
      </c>
      <c r="B168" s="44" t="s">
        <v>458</v>
      </c>
      <c r="C168" s="43" t="s">
        <v>880</v>
      </c>
    </row>
    <row r="169" spans="1:3" x14ac:dyDescent="0.3">
      <c r="A169" s="93" t="s">
        <v>765</v>
      </c>
      <c r="B169" s="44" t="s">
        <v>573</v>
      </c>
      <c r="C169" s="43">
        <v>2</v>
      </c>
    </row>
    <row r="170" spans="1:3" x14ac:dyDescent="0.3">
      <c r="A170" s="93" t="s">
        <v>766</v>
      </c>
      <c r="B170" s="44" t="s">
        <v>767</v>
      </c>
      <c r="C170" s="43">
        <v>3</v>
      </c>
    </row>
    <row r="171" spans="1:3" x14ac:dyDescent="0.3">
      <c r="A171" s="93" t="s">
        <v>768</v>
      </c>
      <c r="B171" s="44" t="s">
        <v>769</v>
      </c>
      <c r="C171" s="43">
        <v>3</v>
      </c>
    </row>
    <row r="172" spans="1:3" x14ac:dyDescent="0.3">
      <c r="A172" s="93" t="s">
        <v>770</v>
      </c>
      <c r="B172" s="44" t="s">
        <v>581</v>
      </c>
      <c r="C172" s="43">
        <v>3</v>
      </c>
    </row>
    <row r="173" spans="1:3" x14ac:dyDescent="0.3">
      <c r="A173" s="93" t="s">
        <v>595</v>
      </c>
      <c r="B173" s="44" t="s">
        <v>596</v>
      </c>
      <c r="C173" s="43" t="s">
        <v>879</v>
      </c>
    </row>
    <row r="174" spans="1:3" x14ac:dyDescent="0.3">
      <c r="A174" s="93" t="s">
        <v>771</v>
      </c>
      <c r="B174" s="44" t="s">
        <v>600</v>
      </c>
      <c r="C174" s="43" t="s">
        <v>879</v>
      </c>
    </row>
    <row r="175" spans="1:3" x14ac:dyDescent="0.3">
      <c r="A175" s="93" t="s">
        <v>589</v>
      </c>
      <c r="B175" s="44" t="s">
        <v>590</v>
      </c>
      <c r="C175" s="43">
        <v>4</v>
      </c>
    </row>
    <row r="176" spans="1:3" x14ac:dyDescent="0.3">
      <c r="A176" s="93" t="s">
        <v>577</v>
      </c>
      <c r="B176" s="44" t="s">
        <v>772</v>
      </c>
      <c r="C176" s="43">
        <v>2</v>
      </c>
    </row>
    <row r="177" spans="1:3" x14ac:dyDescent="0.3">
      <c r="A177" s="93" t="s">
        <v>597</v>
      </c>
      <c r="B177" s="44" t="s">
        <v>598</v>
      </c>
      <c r="C177" s="43">
        <v>3</v>
      </c>
    </row>
    <row r="178" spans="1:3" x14ac:dyDescent="0.3">
      <c r="A178" s="93" t="s">
        <v>583</v>
      </c>
      <c r="B178" s="44" t="s">
        <v>773</v>
      </c>
      <c r="C178" s="43">
        <v>3</v>
      </c>
    </row>
    <row r="179" spans="1:3" x14ac:dyDescent="0.3">
      <c r="A179" s="93" t="s">
        <v>587</v>
      </c>
      <c r="B179" s="44" t="s">
        <v>588</v>
      </c>
      <c r="C179" s="43">
        <v>3</v>
      </c>
    </row>
    <row r="180" spans="1:3" x14ac:dyDescent="0.3">
      <c r="A180" s="93" t="s">
        <v>774</v>
      </c>
      <c r="B180" s="44" t="s">
        <v>336</v>
      </c>
      <c r="C180" s="43">
        <v>2</v>
      </c>
    </row>
    <row r="181" spans="1:3" x14ac:dyDescent="0.3">
      <c r="A181" s="93" t="s">
        <v>575</v>
      </c>
      <c r="B181" s="44" t="s">
        <v>775</v>
      </c>
      <c r="C181" s="43">
        <v>3</v>
      </c>
    </row>
    <row r="182" spans="1:3" x14ac:dyDescent="0.3">
      <c r="A182" s="93" t="s">
        <v>591</v>
      </c>
      <c r="B182" s="44" t="s">
        <v>592</v>
      </c>
      <c r="C182" s="43" t="s">
        <v>880</v>
      </c>
    </row>
    <row r="183" spans="1:3" x14ac:dyDescent="0.3">
      <c r="A183" s="93" t="s">
        <v>563</v>
      </c>
      <c r="B183" s="44" t="s">
        <v>564</v>
      </c>
      <c r="C183" s="43">
        <v>5</v>
      </c>
    </row>
    <row r="184" spans="1:3" x14ac:dyDescent="0.3">
      <c r="A184" s="93" t="s">
        <v>579</v>
      </c>
      <c r="B184" s="44" t="s">
        <v>460</v>
      </c>
      <c r="C184" s="43">
        <v>2</v>
      </c>
    </row>
    <row r="185" spans="1:3" x14ac:dyDescent="0.3">
      <c r="A185" s="93" t="s">
        <v>776</v>
      </c>
      <c r="B185" s="44" t="s">
        <v>777</v>
      </c>
      <c r="C185" s="43">
        <v>3</v>
      </c>
    </row>
    <row r="186" spans="1:3" x14ac:dyDescent="0.3">
      <c r="A186" s="93" t="s">
        <v>778</v>
      </c>
      <c r="B186" s="44" t="s">
        <v>779</v>
      </c>
      <c r="C186" s="43">
        <v>3</v>
      </c>
    </row>
    <row r="187" spans="1:3" x14ac:dyDescent="0.3">
      <c r="A187" s="82"/>
      <c r="B187" s="44" t="s">
        <v>780</v>
      </c>
      <c r="C187" s="43">
        <v>3</v>
      </c>
    </row>
    <row r="188" spans="1:3" x14ac:dyDescent="0.3">
      <c r="A188" s="93" t="s">
        <v>768</v>
      </c>
      <c r="B188" s="44" t="s">
        <v>769</v>
      </c>
      <c r="C188" s="43">
        <v>3</v>
      </c>
    </row>
    <row r="189" spans="1:3" x14ac:dyDescent="0.3">
      <c r="A189" s="93" t="s">
        <v>595</v>
      </c>
      <c r="B189" s="44" t="s">
        <v>596</v>
      </c>
      <c r="C189" s="43" t="s">
        <v>879</v>
      </c>
    </row>
    <row r="190" spans="1:3" x14ac:dyDescent="0.3">
      <c r="A190" s="93" t="s">
        <v>771</v>
      </c>
      <c r="B190" s="44" t="s">
        <v>600</v>
      </c>
      <c r="C190" s="43" t="s">
        <v>879</v>
      </c>
    </row>
    <row r="191" spans="1:3" x14ac:dyDescent="0.3">
      <c r="A191" s="93" t="s">
        <v>589</v>
      </c>
      <c r="B191" s="44" t="s">
        <v>590</v>
      </c>
      <c r="C191" s="43">
        <v>4</v>
      </c>
    </row>
    <row r="192" spans="1:3" x14ac:dyDescent="0.3">
      <c r="A192" s="93" t="s">
        <v>577</v>
      </c>
      <c r="B192" s="44" t="s">
        <v>772</v>
      </c>
      <c r="C192" s="43">
        <v>2</v>
      </c>
    </row>
    <row r="193" spans="1:3" x14ac:dyDescent="0.3">
      <c r="A193" s="93" t="s">
        <v>597</v>
      </c>
      <c r="B193" s="44" t="s">
        <v>598</v>
      </c>
      <c r="C193" s="43">
        <v>3</v>
      </c>
    </row>
    <row r="194" spans="1:3" x14ac:dyDescent="0.3">
      <c r="A194" s="93" t="s">
        <v>583</v>
      </c>
      <c r="B194" s="44" t="s">
        <v>773</v>
      </c>
      <c r="C194" s="43">
        <v>3</v>
      </c>
    </row>
    <row r="195" spans="1:3" x14ac:dyDescent="0.3">
      <c r="A195" s="93" t="s">
        <v>587</v>
      </c>
      <c r="B195" s="44" t="s">
        <v>588</v>
      </c>
      <c r="C195" s="43">
        <v>3</v>
      </c>
    </row>
    <row r="196" spans="1:3" x14ac:dyDescent="0.3">
      <c r="A196" s="93" t="s">
        <v>774</v>
      </c>
      <c r="B196" s="44" t="s">
        <v>336</v>
      </c>
      <c r="C196" s="43">
        <v>2</v>
      </c>
    </row>
    <row r="197" spans="1:3" x14ac:dyDescent="0.3">
      <c r="A197" s="93" t="s">
        <v>591</v>
      </c>
      <c r="B197" s="44" t="s">
        <v>592</v>
      </c>
      <c r="C197" s="43" t="s">
        <v>880</v>
      </c>
    </row>
    <row r="198" spans="1:3" x14ac:dyDescent="0.3">
      <c r="A198" s="94" t="s">
        <v>454</v>
      </c>
      <c r="B198" s="65" t="s">
        <v>536</v>
      </c>
      <c r="C198" s="63">
        <v>3</v>
      </c>
    </row>
    <row r="199" spans="1:3" x14ac:dyDescent="0.3">
      <c r="A199" s="94" t="s">
        <v>453</v>
      </c>
      <c r="B199" s="65" t="s">
        <v>781</v>
      </c>
      <c r="C199" s="63">
        <v>2</v>
      </c>
    </row>
    <row r="200" spans="1:3" x14ac:dyDescent="0.3">
      <c r="A200" s="94" t="s">
        <v>990</v>
      </c>
      <c r="B200" s="65" t="s">
        <v>997</v>
      </c>
      <c r="C200" s="63">
        <v>3</v>
      </c>
    </row>
    <row r="201" spans="1:3" x14ac:dyDescent="0.3">
      <c r="A201" s="94" t="s">
        <v>534</v>
      </c>
      <c r="B201" s="65" t="s">
        <v>535</v>
      </c>
      <c r="C201" s="63">
        <v>2</v>
      </c>
    </row>
    <row r="202" spans="1:3" x14ac:dyDescent="0.3">
      <c r="A202" s="94" t="s">
        <v>547</v>
      </c>
      <c r="B202" s="65" t="s">
        <v>548</v>
      </c>
      <c r="C202" s="63">
        <v>3</v>
      </c>
    </row>
    <row r="203" spans="1:3" x14ac:dyDescent="0.3">
      <c r="A203" s="94" t="s">
        <v>457</v>
      </c>
      <c r="B203" s="65" t="s">
        <v>782</v>
      </c>
      <c r="C203" s="63">
        <v>2</v>
      </c>
    </row>
    <row r="204" spans="1:3" x14ac:dyDescent="0.3">
      <c r="A204" s="94" t="s">
        <v>992</v>
      </c>
      <c r="B204" s="65" t="s">
        <v>998</v>
      </c>
      <c r="C204" s="63">
        <v>4</v>
      </c>
    </row>
    <row r="205" spans="1:3" x14ac:dyDescent="0.3">
      <c r="A205" s="94" t="s">
        <v>543</v>
      </c>
      <c r="B205" s="65" t="s">
        <v>544</v>
      </c>
      <c r="C205" s="63">
        <v>3</v>
      </c>
    </row>
    <row r="206" spans="1:3" x14ac:dyDescent="0.3">
      <c r="A206" s="94" t="s">
        <v>538</v>
      </c>
      <c r="B206" s="65" t="s">
        <v>783</v>
      </c>
      <c r="C206" s="63">
        <v>2</v>
      </c>
    </row>
    <row r="207" spans="1:3" x14ac:dyDescent="0.3">
      <c r="A207" s="94" t="s">
        <v>1003</v>
      </c>
      <c r="B207" s="65" t="s">
        <v>1004</v>
      </c>
      <c r="C207" s="63">
        <v>3.5</v>
      </c>
    </row>
    <row r="208" spans="1:3" x14ac:dyDescent="0.3">
      <c r="A208" s="94" t="s">
        <v>1003</v>
      </c>
      <c r="B208" s="65" t="s">
        <v>1005</v>
      </c>
      <c r="C208" s="63">
        <v>3.5</v>
      </c>
    </row>
    <row r="209" spans="1:3" x14ac:dyDescent="0.3">
      <c r="A209" s="94" t="s">
        <v>551</v>
      </c>
      <c r="B209" s="65" t="s">
        <v>552</v>
      </c>
      <c r="C209" s="63">
        <v>3</v>
      </c>
    </row>
    <row r="210" spans="1:3" x14ac:dyDescent="0.3">
      <c r="A210" s="94" t="s">
        <v>559</v>
      </c>
      <c r="B210" s="65" t="s">
        <v>560</v>
      </c>
      <c r="C210" s="63">
        <v>3</v>
      </c>
    </row>
    <row r="211" spans="1:3" x14ac:dyDescent="0.3">
      <c r="A211" s="94" t="s">
        <v>528</v>
      </c>
      <c r="B211" s="65" t="s">
        <v>529</v>
      </c>
      <c r="C211" s="63">
        <v>3</v>
      </c>
    </row>
    <row r="212" spans="1:3" x14ac:dyDescent="0.3">
      <c r="A212" s="94" t="s">
        <v>539</v>
      </c>
      <c r="B212" s="65" t="s">
        <v>784</v>
      </c>
      <c r="C212" s="63">
        <v>2</v>
      </c>
    </row>
    <row r="213" spans="1:3" x14ac:dyDescent="0.3">
      <c r="A213" s="94" t="s">
        <v>999</v>
      </c>
      <c r="B213" s="65" t="s">
        <v>1000</v>
      </c>
      <c r="C213" s="63">
        <v>4</v>
      </c>
    </row>
    <row r="214" spans="1:3" x14ac:dyDescent="0.3">
      <c r="A214" s="94" t="s">
        <v>999</v>
      </c>
      <c r="B214" s="65" t="s">
        <v>1001</v>
      </c>
      <c r="C214" s="63">
        <v>4</v>
      </c>
    </row>
    <row r="215" spans="1:3" x14ac:dyDescent="0.3">
      <c r="A215" s="94" t="s">
        <v>537</v>
      </c>
      <c r="B215" s="65" t="s">
        <v>329</v>
      </c>
      <c r="C215" s="63">
        <v>3</v>
      </c>
    </row>
    <row r="216" spans="1:3" x14ac:dyDescent="0.3">
      <c r="A216" s="94" t="s">
        <v>540</v>
      </c>
      <c r="B216" s="65" t="s">
        <v>785</v>
      </c>
      <c r="C216" s="63">
        <v>2</v>
      </c>
    </row>
    <row r="217" spans="1:3" x14ac:dyDescent="0.3">
      <c r="A217" s="94" t="s">
        <v>1006</v>
      </c>
      <c r="B217" s="65" t="s">
        <v>1007</v>
      </c>
      <c r="C217" s="63">
        <v>3.5</v>
      </c>
    </row>
    <row r="218" spans="1:3" x14ac:dyDescent="0.3">
      <c r="A218" s="94" t="s">
        <v>545</v>
      </c>
      <c r="B218" s="102" t="s">
        <v>546</v>
      </c>
      <c r="C218" s="63">
        <v>3</v>
      </c>
    </row>
    <row r="219" spans="1:3" x14ac:dyDescent="0.3">
      <c r="A219" s="94" t="s">
        <v>450</v>
      </c>
      <c r="B219" s="65" t="s">
        <v>451</v>
      </c>
      <c r="C219" s="63">
        <v>3</v>
      </c>
    </row>
    <row r="220" spans="1:3" x14ac:dyDescent="0.3">
      <c r="A220" s="94" t="s">
        <v>555</v>
      </c>
      <c r="B220" s="65" t="s">
        <v>556</v>
      </c>
      <c r="C220" s="63">
        <v>2</v>
      </c>
    </row>
    <row r="221" spans="1:3" x14ac:dyDescent="0.3">
      <c r="A221" s="94" t="s">
        <v>557</v>
      </c>
      <c r="B221" s="102" t="s">
        <v>558</v>
      </c>
      <c r="C221" s="63">
        <v>3</v>
      </c>
    </row>
    <row r="222" spans="1:3" x14ac:dyDescent="0.3">
      <c r="A222" s="94" t="s">
        <v>541</v>
      </c>
      <c r="B222" s="65" t="s">
        <v>542</v>
      </c>
      <c r="C222" s="63">
        <v>2</v>
      </c>
    </row>
    <row r="223" spans="1:3" x14ac:dyDescent="0.3">
      <c r="A223" s="94" t="s">
        <v>1012</v>
      </c>
      <c r="B223" s="65" t="s">
        <v>1013</v>
      </c>
      <c r="C223" s="63">
        <v>5</v>
      </c>
    </row>
    <row r="224" spans="1:3" x14ac:dyDescent="0.3">
      <c r="A224" s="94" t="s">
        <v>537</v>
      </c>
      <c r="B224" s="65" t="s">
        <v>329</v>
      </c>
      <c r="C224" s="63">
        <v>3</v>
      </c>
    </row>
    <row r="225" spans="1:3" x14ac:dyDescent="0.3">
      <c r="A225" s="94" t="s">
        <v>540</v>
      </c>
      <c r="B225" s="65" t="s">
        <v>785</v>
      </c>
      <c r="C225" s="63">
        <v>2</v>
      </c>
    </row>
    <row r="226" spans="1:3" x14ac:dyDescent="0.3">
      <c r="A226" s="94" t="s">
        <v>1006</v>
      </c>
      <c r="B226" s="65" t="s">
        <v>1007</v>
      </c>
      <c r="C226" s="63">
        <v>3.5</v>
      </c>
    </row>
    <row r="227" spans="1:3" x14ac:dyDescent="0.3">
      <c r="A227" s="94" t="s">
        <v>450</v>
      </c>
      <c r="B227" s="65" t="s">
        <v>451</v>
      </c>
      <c r="C227" s="63">
        <v>3</v>
      </c>
    </row>
    <row r="228" spans="1:3" x14ac:dyDescent="0.3">
      <c r="A228" s="94" t="s">
        <v>541</v>
      </c>
      <c r="B228" s="65" t="s">
        <v>542</v>
      </c>
      <c r="C228" s="63">
        <v>2</v>
      </c>
    </row>
    <row r="229" spans="1:3" x14ac:dyDescent="0.3">
      <c r="A229" s="94" t="s">
        <v>1012</v>
      </c>
      <c r="B229" s="65" t="s">
        <v>1013</v>
      </c>
      <c r="C229" s="63">
        <v>5</v>
      </c>
    </row>
    <row r="230" spans="1:3" x14ac:dyDescent="0.3">
      <c r="A230" s="94" t="s">
        <v>532</v>
      </c>
      <c r="B230" s="65" t="s">
        <v>533</v>
      </c>
      <c r="C230" s="63">
        <v>3</v>
      </c>
    </row>
    <row r="231" spans="1:3" x14ac:dyDescent="0.3">
      <c r="A231" s="94" t="s">
        <v>549</v>
      </c>
      <c r="B231" s="65" t="s">
        <v>887</v>
      </c>
      <c r="C231" s="63">
        <v>3</v>
      </c>
    </row>
    <row r="232" spans="1:3" x14ac:dyDescent="0.3">
      <c r="A232" s="94" t="s">
        <v>550</v>
      </c>
      <c r="B232" s="65" t="s">
        <v>786</v>
      </c>
      <c r="C232" s="63">
        <v>3</v>
      </c>
    </row>
    <row r="233" spans="1:3" x14ac:dyDescent="0.3">
      <c r="A233" s="94" t="s">
        <v>530</v>
      </c>
      <c r="B233" s="65" t="s">
        <v>531</v>
      </c>
      <c r="C233" s="63">
        <v>2</v>
      </c>
    </row>
    <row r="234" spans="1:3" x14ac:dyDescent="0.3">
      <c r="A234" s="94" t="s">
        <v>553</v>
      </c>
      <c r="B234" s="65" t="s">
        <v>554</v>
      </c>
      <c r="C234" s="63">
        <v>2</v>
      </c>
    </row>
    <row r="235" spans="1:3" x14ac:dyDescent="0.3">
      <c r="A235" s="90" t="s">
        <v>453</v>
      </c>
      <c r="B235" s="5" t="s">
        <v>606</v>
      </c>
      <c r="C235" s="2">
        <v>2</v>
      </c>
    </row>
    <row r="236" spans="1:3" x14ac:dyDescent="0.3">
      <c r="A236" s="90" t="s">
        <v>990</v>
      </c>
      <c r="B236" s="5" t="s">
        <v>991</v>
      </c>
      <c r="C236" s="2">
        <v>3</v>
      </c>
    </row>
    <row r="237" spans="1:3" x14ac:dyDescent="0.3">
      <c r="A237" s="96" t="s">
        <v>454</v>
      </c>
      <c r="B237" s="5" t="s">
        <v>455</v>
      </c>
      <c r="C237" s="2">
        <v>3</v>
      </c>
    </row>
    <row r="238" spans="1:3" x14ac:dyDescent="0.3">
      <c r="A238" s="82" t="s">
        <v>620</v>
      </c>
      <c r="B238" s="5" t="s">
        <v>621</v>
      </c>
      <c r="C238" s="2">
        <v>2</v>
      </c>
    </row>
    <row r="239" spans="1:3" x14ac:dyDescent="0.3">
      <c r="A239" s="82" t="s">
        <v>607</v>
      </c>
      <c r="B239" s="5" t="s">
        <v>458</v>
      </c>
      <c r="C239" s="2">
        <v>2</v>
      </c>
    </row>
    <row r="240" spans="1:3" x14ac:dyDescent="0.3">
      <c r="A240" s="82" t="s">
        <v>996</v>
      </c>
      <c r="B240" s="5" t="s">
        <v>993</v>
      </c>
      <c r="C240" s="2">
        <v>4</v>
      </c>
    </row>
    <row r="241" spans="1:3" x14ac:dyDescent="0.3">
      <c r="A241" s="82" t="s">
        <v>618</v>
      </c>
      <c r="B241" s="5" t="s">
        <v>619</v>
      </c>
      <c r="C241" s="2">
        <v>3</v>
      </c>
    </row>
    <row r="242" spans="1:3" x14ac:dyDescent="0.3">
      <c r="A242" s="82" t="s">
        <v>608</v>
      </c>
      <c r="B242" s="5" t="s">
        <v>504</v>
      </c>
      <c r="C242" s="2">
        <v>2</v>
      </c>
    </row>
    <row r="243" spans="1:3" x14ac:dyDescent="0.3">
      <c r="A243" s="82" t="s">
        <v>787</v>
      </c>
      <c r="B243" s="5" t="s">
        <v>631</v>
      </c>
      <c r="C243" s="2">
        <v>3</v>
      </c>
    </row>
    <row r="244" spans="1:3" x14ac:dyDescent="0.3">
      <c r="A244" s="82" t="s">
        <v>788</v>
      </c>
      <c r="B244" s="5" t="s">
        <v>644</v>
      </c>
      <c r="C244" s="2">
        <v>3</v>
      </c>
    </row>
    <row r="245" spans="1:3" x14ac:dyDescent="0.3">
      <c r="A245" s="82" t="s">
        <v>789</v>
      </c>
      <c r="B245" s="5" t="s">
        <v>790</v>
      </c>
      <c r="C245" s="2">
        <v>3</v>
      </c>
    </row>
    <row r="246" spans="1:3" x14ac:dyDescent="0.3">
      <c r="A246" s="82" t="s">
        <v>791</v>
      </c>
      <c r="B246" s="5" t="s">
        <v>623</v>
      </c>
      <c r="C246" s="2">
        <v>3</v>
      </c>
    </row>
    <row r="247" spans="1:3" x14ac:dyDescent="0.3">
      <c r="A247" s="82" t="s">
        <v>1018</v>
      </c>
      <c r="B247" s="5" t="s">
        <v>1019</v>
      </c>
      <c r="C247" s="2">
        <v>3</v>
      </c>
    </row>
    <row r="248" spans="1:3" x14ac:dyDescent="0.3">
      <c r="A248" s="82" t="s">
        <v>792</v>
      </c>
      <c r="B248" s="5" t="s">
        <v>633</v>
      </c>
      <c r="C248" s="2">
        <v>3</v>
      </c>
    </row>
    <row r="249" spans="1:3" x14ac:dyDescent="0.3">
      <c r="A249" s="82" t="s">
        <v>328</v>
      </c>
      <c r="B249" s="5" t="s">
        <v>329</v>
      </c>
      <c r="C249" s="2">
        <v>3</v>
      </c>
    </row>
    <row r="250" spans="1:3" x14ac:dyDescent="0.3">
      <c r="A250" s="82" t="s">
        <v>793</v>
      </c>
      <c r="B250" s="5" t="s">
        <v>794</v>
      </c>
      <c r="C250" s="2">
        <v>3</v>
      </c>
    </row>
    <row r="251" spans="1:3" x14ac:dyDescent="0.3">
      <c r="A251" s="82" t="s">
        <v>795</v>
      </c>
      <c r="B251" s="5" t="s">
        <v>796</v>
      </c>
      <c r="C251" s="2">
        <v>3</v>
      </c>
    </row>
    <row r="252" spans="1:3" x14ac:dyDescent="0.3">
      <c r="A252" s="82" t="s">
        <v>797</v>
      </c>
      <c r="B252" s="5" t="s">
        <v>798</v>
      </c>
      <c r="C252" s="2">
        <v>2</v>
      </c>
    </row>
    <row r="253" spans="1:3" x14ac:dyDescent="0.3">
      <c r="A253" s="82" t="s">
        <v>1014</v>
      </c>
      <c r="B253" s="5" t="s">
        <v>1015</v>
      </c>
      <c r="C253" s="2">
        <v>3</v>
      </c>
    </row>
    <row r="254" spans="1:3" x14ac:dyDescent="0.3">
      <c r="A254" s="82" t="s">
        <v>799</v>
      </c>
      <c r="B254" s="5" t="s">
        <v>612</v>
      </c>
      <c r="C254" s="2">
        <v>2</v>
      </c>
    </row>
    <row r="255" spans="1:3" x14ac:dyDescent="0.3">
      <c r="A255" s="82" t="s">
        <v>800</v>
      </c>
      <c r="B255" s="5" t="s">
        <v>451</v>
      </c>
      <c r="C255" s="2">
        <v>3</v>
      </c>
    </row>
    <row r="256" spans="1:3" x14ac:dyDescent="0.3">
      <c r="A256" s="82" t="s">
        <v>802</v>
      </c>
      <c r="B256" s="5" t="s">
        <v>604</v>
      </c>
      <c r="C256" s="2">
        <v>3</v>
      </c>
    </row>
    <row r="257" spans="1:3" x14ac:dyDescent="0.3">
      <c r="A257" s="82" t="s">
        <v>803</v>
      </c>
      <c r="B257" s="5" t="s">
        <v>625</v>
      </c>
      <c r="C257" s="2">
        <v>3</v>
      </c>
    </row>
    <row r="258" spans="1:3" x14ac:dyDescent="0.3">
      <c r="A258" s="82" t="s">
        <v>804</v>
      </c>
      <c r="B258" s="5" t="s">
        <v>409</v>
      </c>
      <c r="C258" s="2">
        <v>2</v>
      </c>
    </row>
    <row r="259" spans="1:3" x14ac:dyDescent="0.3">
      <c r="A259" s="82" t="s">
        <v>805</v>
      </c>
      <c r="B259" s="5" t="s">
        <v>806</v>
      </c>
      <c r="C259" s="2">
        <v>3</v>
      </c>
    </row>
    <row r="260" spans="1:3" x14ac:dyDescent="0.3">
      <c r="A260" s="82" t="s">
        <v>807</v>
      </c>
      <c r="B260" s="5" t="s">
        <v>808</v>
      </c>
      <c r="C260" s="2">
        <v>3</v>
      </c>
    </row>
    <row r="261" spans="1:3" x14ac:dyDescent="0.3">
      <c r="A261" s="82" t="s">
        <v>807</v>
      </c>
      <c r="B261" s="5" t="s">
        <v>809</v>
      </c>
      <c r="C261" s="2">
        <v>3</v>
      </c>
    </row>
    <row r="262" spans="1:3" x14ac:dyDescent="0.3">
      <c r="A262" s="82" t="s">
        <v>503</v>
      </c>
      <c r="B262" s="5" t="s">
        <v>504</v>
      </c>
      <c r="C262" s="2">
        <v>3</v>
      </c>
    </row>
    <row r="263" spans="1:3" x14ac:dyDescent="0.3">
      <c r="A263" s="82" t="s">
        <v>511</v>
      </c>
      <c r="B263" s="5" t="s">
        <v>483</v>
      </c>
      <c r="C263" s="2">
        <v>3</v>
      </c>
    </row>
    <row r="264" spans="1:3" x14ac:dyDescent="0.3">
      <c r="A264" s="82" t="s">
        <v>500</v>
      </c>
      <c r="B264" s="5" t="s">
        <v>455</v>
      </c>
      <c r="C264" s="2">
        <v>3</v>
      </c>
    </row>
    <row r="265" spans="1:3" x14ac:dyDescent="0.3">
      <c r="A265" s="82" t="s">
        <v>515</v>
      </c>
      <c r="B265" s="5" t="s">
        <v>516</v>
      </c>
      <c r="C265" s="2">
        <v>3</v>
      </c>
    </row>
    <row r="266" spans="1:3" x14ac:dyDescent="0.3">
      <c r="A266" s="82" t="s">
        <v>383</v>
      </c>
      <c r="B266" s="5" t="s">
        <v>384</v>
      </c>
      <c r="C266" s="2">
        <v>2</v>
      </c>
    </row>
    <row r="267" spans="1:3" x14ac:dyDescent="0.3">
      <c r="A267" s="82" t="s">
        <v>513</v>
      </c>
      <c r="B267" s="5" t="s">
        <v>514</v>
      </c>
      <c r="C267" s="2">
        <v>4</v>
      </c>
    </row>
    <row r="268" spans="1:3" x14ac:dyDescent="0.3">
      <c r="A268" s="82" t="s">
        <v>512</v>
      </c>
      <c r="B268" s="5" t="s">
        <v>685</v>
      </c>
      <c r="C268" s="2">
        <v>3</v>
      </c>
    </row>
    <row r="269" spans="1:3" x14ac:dyDescent="0.3">
      <c r="A269" s="82" t="s">
        <v>523</v>
      </c>
      <c r="B269" s="5" t="s">
        <v>524</v>
      </c>
      <c r="C269" s="2">
        <v>3</v>
      </c>
    </row>
    <row r="270" spans="1:3" x14ac:dyDescent="0.3">
      <c r="A270" s="82" t="s">
        <v>519</v>
      </c>
      <c r="B270" s="5" t="s">
        <v>520</v>
      </c>
      <c r="C270" s="2">
        <v>3</v>
      </c>
    </row>
    <row r="271" spans="1:3" x14ac:dyDescent="0.3">
      <c r="A271" s="82" t="s">
        <v>496</v>
      </c>
      <c r="B271" s="5" t="s">
        <v>810</v>
      </c>
      <c r="C271" s="2">
        <v>4</v>
      </c>
    </row>
    <row r="272" spans="1:3" x14ac:dyDescent="0.3">
      <c r="A272" s="82" t="s">
        <v>497</v>
      </c>
      <c r="B272" s="5" t="s">
        <v>498</v>
      </c>
      <c r="C272" s="2">
        <v>3</v>
      </c>
    </row>
    <row r="273" spans="1:3" x14ac:dyDescent="0.3">
      <c r="A273" s="82" t="s">
        <v>507</v>
      </c>
      <c r="B273" s="5" t="s">
        <v>508</v>
      </c>
      <c r="C273" s="2">
        <v>3</v>
      </c>
    </row>
    <row r="274" spans="1:3" x14ac:dyDescent="0.3">
      <c r="A274" s="82" t="s">
        <v>499</v>
      </c>
      <c r="B274" s="5" t="s">
        <v>811</v>
      </c>
      <c r="C274" s="2">
        <v>3</v>
      </c>
    </row>
    <row r="275" spans="1:3" x14ac:dyDescent="0.3">
      <c r="A275" s="82" t="s">
        <v>501</v>
      </c>
      <c r="B275" s="5" t="s">
        <v>812</v>
      </c>
      <c r="C275" s="2">
        <v>3</v>
      </c>
    </row>
    <row r="276" spans="1:3" x14ac:dyDescent="0.3">
      <c r="A276" s="82" t="s">
        <v>509</v>
      </c>
      <c r="B276" s="5" t="s">
        <v>510</v>
      </c>
      <c r="C276" s="2">
        <v>3</v>
      </c>
    </row>
    <row r="277" spans="1:3" x14ac:dyDescent="0.3">
      <c r="A277" s="82" t="s">
        <v>505</v>
      </c>
      <c r="B277" s="5" t="s">
        <v>506</v>
      </c>
      <c r="C277" s="2">
        <v>3</v>
      </c>
    </row>
    <row r="278" spans="1:3" x14ac:dyDescent="0.3">
      <c r="A278" s="82" t="s">
        <v>521</v>
      </c>
      <c r="B278" s="5" t="s">
        <v>522</v>
      </c>
      <c r="C278" s="2">
        <v>3</v>
      </c>
    </row>
    <row r="279" spans="1:3" x14ac:dyDescent="0.3">
      <c r="A279" s="82" t="s">
        <v>517</v>
      </c>
      <c r="B279" s="5" t="s">
        <v>518</v>
      </c>
      <c r="C279" s="2">
        <v>3</v>
      </c>
    </row>
    <row r="280" spans="1:3" x14ac:dyDescent="0.3">
      <c r="A280" s="82" t="s">
        <v>814</v>
      </c>
      <c r="B280" s="5" t="s">
        <v>815</v>
      </c>
      <c r="C280" s="2">
        <v>3</v>
      </c>
    </row>
    <row r="281" spans="1:3" x14ac:dyDescent="0.3">
      <c r="A281" s="82" t="s">
        <v>816</v>
      </c>
      <c r="B281" s="5" t="s">
        <v>817</v>
      </c>
      <c r="C281" s="2">
        <v>3</v>
      </c>
    </row>
    <row r="282" spans="1:3" x14ac:dyDescent="0.3">
      <c r="A282" s="82" t="s">
        <v>525</v>
      </c>
      <c r="B282" s="5" t="s">
        <v>526</v>
      </c>
      <c r="C282" s="2">
        <v>3</v>
      </c>
    </row>
    <row r="283" spans="1:3" x14ac:dyDescent="0.3">
      <c r="A283" s="82" t="s">
        <v>818</v>
      </c>
      <c r="B283" s="5" t="s">
        <v>819</v>
      </c>
      <c r="C283" s="2">
        <v>3</v>
      </c>
    </row>
    <row r="284" spans="1:3" x14ac:dyDescent="0.3">
      <c r="A284" s="82" t="s">
        <v>503</v>
      </c>
      <c r="B284" s="5" t="s">
        <v>504</v>
      </c>
      <c r="C284" s="2">
        <v>3</v>
      </c>
    </row>
    <row r="285" spans="1:3" x14ac:dyDescent="0.3">
      <c r="A285" s="82" t="s">
        <v>511</v>
      </c>
      <c r="B285" s="5" t="s">
        <v>483</v>
      </c>
      <c r="C285" s="2">
        <v>3</v>
      </c>
    </row>
    <row r="286" spans="1:3" x14ac:dyDescent="0.3">
      <c r="A286" s="82" t="s">
        <v>500</v>
      </c>
      <c r="B286" s="5" t="s">
        <v>455</v>
      </c>
      <c r="C286" s="2">
        <v>3</v>
      </c>
    </row>
    <row r="287" spans="1:3" x14ac:dyDescent="0.3">
      <c r="A287" s="82" t="s">
        <v>515</v>
      </c>
      <c r="B287" s="5" t="s">
        <v>516</v>
      </c>
      <c r="C287" s="2">
        <v>3</v>
      </c>
    </row>
    <row r="288" spans="1:3" x14ac:dyDescent="0.3">
      <c r="A288" s="82" t="s">
        <v>383</v>
      </c>
      <c r="B288" s="5" t="s">
        <v>384</v>
      </c>
      <c r="C288" s="2">
        <v>2</v>
      </c>
    </row>
    <row r="289" spans="1:3" x14ac:dyDescent="0.3">
      <c r="A289" s="82" t="s">
        <v>513</v>
      </c>
      <c r="B289" s="5" t="s">
        <v>514</v>
      </c>
      <c r="C289" s="2">
        <v>4</v>
      </c>
    </row>
    <row r="290" spans="1:3" x14ac:dyDescent="0.3">
      <c r="A290" s="82" t="s">
        <v>512</v>
      </c>
      <c r="B290" s="5" t="s">
        <v>685</v>
      </c>
      <c r="C290" s="2">
        <v>3</v>
      </c>
    </row>
    <row r="291" spans="1:3" x14ac:dyDescent="0.3">
      <c r="A291" s="82" t="s">
        <v>523</v>
      </c>
      <c r="B291" s="5" t="s">
        <v>524</v>
      </c>
      <c r="C291" s="2">
        <v>3</v>
      </c>
    </row>
    <row r="292" spans="1:3" x14ac:dyDescent="0.3">
      <c r="A292" s="82" t="s">
        <v>519</v>
      </c>
      <c r="B292" s="5" t="s">
        <v>520</v>
      </c>
      <c r="C292" s="2">
        <v>3</v>
      </c>
    </row>
    <row r="293" spans="1:3" x14ac:dyDescent="0.3">
      <c r="A293" s="82" t="s">
        <v>496</v>
      </c>
      <c r="B293" s="5" t="s">
        <v>810</v>
      </c>
      <c r="C293" s="2">
        <v>4</v>
      </c>
    </row>
    <row r="294" spans="1:3" x14ac:dyDescent="0.3">
      <c r="A294" s="82" t="s">
        <v>497</v>
      </c>
      <c r="B294" s="5" t="s">
        <v>498</v>
      </c>
      <c r="C294" s="2">
        <v>3</v>
      </c>
    </row>
    <row r="295" spans="1:3" x14ac:dyDescent="0.3">
      <c r="A295" s="82" t="s">
        <v>507</v>
      </c>
      <c r="B295" s="5" t="s">
        <v>508</v>
      </c>
      <c r="C295" s="2">
        <v>3</v>
      </c>
    </row>
    <row r="296" spans="1:3" x14ac:dyDescent="0.3">
      <c r="A296" s="82" t="s">
        <v>499</v>
      </c>
      <c r="B296" s="5" t="s">
        <v>811</v>
      </c>
      <c r="C296" s="2">
        <v>3</v>
      </c>
    </row>
    <row r="297" spans="1:3" x14ac:dyDescent="0.3">
      <c r="A297" s="82" t="s">
        <v>501</v>
      </c>
      <c r="B297" s="5" t="s">
        <v>812</v>
      </c>
      <c r="C297" s="2">
        <v>3</v>
      </c>
    </row>
    <row r="298" spans="1:3" x14ac:dyDescent="0.3">
      <c r="A298" s="82" t="s">
        <v>509</v>
      </c>
      <c r="B298" s="5" t="s">
        <v>510</v>
      </c>
      <c r="C298" s="2">
        <v>3</v>
      </c>
    </row>
    <row r="299" spans="1:3" x14ac:dyDescent="0.3">
      <c r="A299" s="82" t="s">
        <v>505</v>
      </c>
      <c r="B299" s="5" t="s">
        <v>506</v>
      </c>
      <c r="C299" s="2">
        <v>3</v>
      </c>
    </row>
    <row r="300" spans="1:3" x14ac:dyDescent="0.3">
      <c r="A300" s="96" t="s">
        <v>383</v>
      </c>
      <c r="B300" s="69" t="s">
        <v>820</v>
      </c>
      <c r="C300" s="47">
        <v>2</v>
      </c>
    </row>
    <row r="301" spans="1:3" x14ac:dyDescent="0.3">
      <c r="A301" s="96" t="s">
        <v>473</v>
      </c>
      <c r="B301" s="69" t="s">
        <v>821</v>
      </c>
      <c r="C301" s="47">
        <v>2</v>
      </c>
    </row>
    <row r="302" spans="1:3" x14ac:dyDescent="0.3">
      <c r="A302" s="96" t="s">
        <v>476</v>
      </c>
      <c r="B302" s="69" t="s">
        <v>822</v>
      </c>
      <c r="C302" s="47">
        <v>3</v>
      </c>
    </row>
    <row r="303" spans="1:3" x14ac:dyDescent="0.3">
      <c r="A303" s="96" t="s">
        <v>486</v>
      </c>
      <c r="B303" s="69" t="s">
        <v>823</v>
      </c>
      <c r="C303" s="47">
        <v>2</v>
      </c>
    </row>
    <row r="304" spans="1:3" x14ac:dyDescent="0.3">
      <c r="A304" s="96" t="s">
        <v>482</v>
      </c>
      <c r="B304" s="69" t="s">
        <v>824</v>
      </c>
      <c r="C304" s="47">
        <v>3</v>
      </c>
    </row>
    <row r="305" spans="1:3" x14ac:dyDescent="0.3">
      <c r="A305" s="96" t="s">
        <v>484</v>
      </c>
      <c r="B305" s="69" t="s">
        <v>825</v>
      </c>
      <c r="C305" s="47">
        <v>3</v>
      </c>
    </row>
    <row r="306" spans="1:3" x14ac:dyDescent="0.3">
      <c r="A306" s="96" t="s">
        <v>371</v>
      </c>
      <c r="B306" s="5" t="s">
        <v>849</v>
      </c>
      <c r="C306" s="47">
        <v>3</v>
      </c>
    </row>
    <row r="307" spans="1:3" x14ac:dyDescent="0.3">
      <c r="A307" s="96" t="s">
        <v>475</v>
      </c>
      <c r="B307" s="69" t="s">
        <v>826</v>
      </c>
      <c r="C307" s="47">
        <v>3</v>
      </c>
    </row>
    <row r="308" spans="1:3" x14ac:dyDescent="0.3">
      <c r="A308" s="96" t="s">
        <v>491</v>
      </c>
      <c r="B308" s="69" t="s">
        <v>827</v>
      </c>
      <c r="C308" s="47">
        <v>2</v>
      </c>
    </row>
    <row r="309" spans="1:3" x14ac:dyDescent="0.3">
      <c r="A309" s="96" t="s">
        <v>474</v>
      </c>
      <c r="B309" s="69" t="s">
        <v>828</v>
      </c>
      <c r="C309" s="47">
        <v>3</v>
      </c>
    </row>
    <row r="310" spans="1:3" x14ac:dyDescent="0.3">
      <c r="A310" s="96" t="s">
        <v>477</v>
      </c>
      <c r="B310" s="69" t="s">
        <v>829</v>
      </c>
      <c r="C310" s="47">
        <v>2</v>
      </c>
    </row>
    <row r="311" spans="1:3" x14ac:dyDescent="0.3">
      <c r="A311" s="96" t="s">
        <v>485</v>
      </c>
      <c r="B311" s="69" t="s">
        <v>830</v>
      </c>
      <c r="C311" s="47">
        <v>3</v>
      </c>
    </row>
    <row r="312" spans="1:3" x14ac:dyDescent="0.3">
      <c r="A312" s="96" t="s">
        <v>478</v>
      </c>
      <c r="B312" s="69" t="s">
        <v>831</v>
      </c>
      <c r="C312" s="47">
        <v>3</v>
      </c>
    </row>
    <row r="313" spans="1:3" x14ac:dyDescent="0.3">
      <c r="A313" s="96" t="s">
        <v>494</v>
      </c>
      <c r="B313" s="69" t="s">
        <v>832</v>
      </c>
      <c r="C313" s="47">
        <v>3</v>
      </c>
    </row>
    <row r="314" spans="1:3" x14ac:dyDescent="0.3">
      <c r="A314" s="96" t="s">
        <v>488</v>
      </c>
      <c r="B314" s="69" t="s">
        <v>833</v>
      </c>
      <c r="C314" s="47">
        <v>2</v>
      </c>
    </row>
    <row r="315" spans="1:3" x14ac:dyDescent="0.3">
      <c r="A315" s="96" t="s">
        <v>480</v>
      </c>
      <c r="B315" s="69" t="s">
        <v>834</v>
      </c>
      <c r="C315" s="47">
        <v>3</v>
      </c>
    </row>
    <row r="316" spans="1:3" x14ac:dyDescent="0.3">
      <c r="A316" s="96" t="s">
        <v>495</v>
      </c>
      <c r="B316" s="69" t="s">
        <v>835</v>
      </c>
      <c r="C316" s="47">
        <v>3</v>
      </c>
    </row>
    <row r="317" spans="1:3" x14ac:dyDescent="0.3">
      <c r="A317" s="96" t="s">
        <v>479</v>
      </c>
      <c r="B317" s="69" t="s">
        <v>836</v>
      </c>
      <c r="C317" s="47">
        <v>3</v>
      </c>
    </row>
    <row r="318" spans="1:3" x14ac:dyDescent="0.3">
      <c r="A318" s="96" t="s">
        <v>489</v>
      </c>
      <c r="B318" s="69" t="s">
        <v>837</v>
      </c>
      <c r="C318" s="47">
        <v>3</v>
      </c>
    </row>
    <row r="319" spans="1:3" x14ac:dyDescent="0.3">
      <c r="A319" s="96" t="s">
        <v>490</v>
      </c>
      <c r="B319" s="69" t="s">
        <v>838</v>
      </c>
      <c r="C319" s="47">
        <v>3</v>
      </c>
    </row>
    <row r="320" spans="1:3" x14ac:dyDescent="0.3">
      <c r="A320" s="96" t="s">
        <v>487</v>
      </c>
      <c r="B320" s="69" t="s">
        <v>839</v>
      </c>
      <c r="C320" s="47">
        <v>2</v>
      </c>
    </row>
    <row r="321" spans="1:3" x14ac:dyDescent="0.3">
      <c r="A321" s="96" t="s">
        <v>493</v>
      </c>
      <c r="B321" s="69" t="s">
        <v>840</v>
      </c>
      <c r="C321" s="47">
        <v>3</v>
      </c>
    </row>
    <row r="322" spans="1:3" x14ac:dyDescent="0.3">
      <c r="A322" s="96" t="s">
        <v>492</v>
      </c>
      <c r="B322" s="69" t="s">
        <v>841</v>
      </c>
      <c r="C322" s="47">
        <v>3</v>
      </c>
    </row>
    <row r="323" spans="1:3" x14ac:dyDescent="0.3">
      <c r="A323" s="96" t="s">
        <v>481</v>
      </c>
      <c r="B323" s="69" t="s">
        <v>842</v>
      </c>
      <c r="C323" s="47">
        <v>3</v>
      </c>
    </row>
    <row r="324" spans="1:3" x14ac:dyDescent="0.3">
      <c r="A324" s="96" t="s">
        <v>843</v>
      </c>
      <c r="B324" s="69" t="s">
        <v>844</v>
      </c>
      <c r="C324" s="47">
        <v>3</v>
      </c>
    </row>
    <row r="325" spans="1:3" x14ac:dyDescent="0.3">
      <c r="A325" s="96" t="s">
        <v>494</v>
      </c>
      <c r="B325" s="69" t="s">
        <v>832</v>
      </c>
      <c r="C325" s="47">
        <v>3</v>
      </c>
    </row>
    <row r="326" spans="1:3" x14ac:dyDescent="0.3">
      <c r="A326" s="96" t="s">
        <v>489</v>
      </c>
      <c r="B326" s="69" t="s">
        <v>837</v>
      </c>
      <c r="C326" s="47">
        <v>3</v>
      </c>
    </row>
    <row r="327" spans="1:3" x14ac:dyDescent="0.3">
      <c r="A327" s="96" t="s">
        <v>490</v>
      </c>
      <c r="B327" s="69" t="s">
        <v>838</v>
      </c>
      <c r="C327" s="47">
        <v>3</v>
      </c>
    </row>
    <row r="328" spans="1:3" x14ac:dyDescent="0.3">
      <c r="A328" s="96" t="s">
        <v>493</v>
      </c>
      <c r="B328" s="69" t="s">
        <v>840</v>
      </c>
      <c r="C328" s="47">
        <v>3</v>
      </c>
    </row>
    <row r="329" spans="1:3" x14ac:dyDescent="0.3">
      <c r="A329" s="88" t="s">
        <v>383</v>
      </c>
      <c r="B329" s="5" t="s">
        <v>384</v>
      </c>
      <c r="C329" s="9">
        <v>2</v>
      </c>
    </row>
    <row r="330" spans="1:3" x14ac:dyDescent="0.3">
      <c r="A330" s="88" t="s">
        <v>378</v>
      </c>
      <c r="B330" s="5" t="s">
        <v>379</v>
      </c>
      <c r="C330" s="9">
        <v>3</v>
      </c>
    </row>
    <row r="331" spans="1:3" x14ac:dyDescent="0.3">
      <c r="A331" s="82" t="s">
        <v>380</v>
      </c>
      <c r="B331" s="5" t="s">
        <v>381</v>
      </c>
      <c r="C331" s="9">
        <v>3</v>
      </c>
    </row>
    <row r="332" spans="1:3" ht="15.6" x14ac:dyDescent="0.3">
      <c r="A332" s="88" t="s">
        <v>369</v>
      </c>
      <c r="B332" s="5" t="s">
        <v>845</v>
      </c>
      <c r="C332" s="9">
        <v>3</v>
      </c>
    </row>
    <row r="333" spans="1:3" ht="15.6" x14ac:dyDescent="0.3">
      <c r="A333" s="97" t="s">
        <v>358</v>
      </c>
      <c r="B333" s="5" t="s">
        <v>846</v>
      </c>
      <c r="C333" s="50">
        <v>2</v>
      </c>
    </row>
    <row r="334" spans="1:3" x14ac:dyDescent="0.3">
      <c r="A334" s="88" t="s">
        <v>382</v>
      </c>
      <c r="B334" s="5" t="s">
        <v>847</v>
      </c>
      <c r="C334" s="9">
        <v>3</v>
      </c>
    </row>
    <row r="335" spans="1:3" x14ac:dyDescent="0.3">
      <c r="A335" s="88" t="s">
        <v>371</v>
      </c>
      <c r="B335" s="5" t="s">
        <v>849</v>
      </c>
      <c r="C335" s="50">
        <v>1.5</v>
      </c>
    </row>
    <row r="336" spans="1:3" x14ac:dyDescent="0.3">
      <c r="A336" s="88" t="s">
        <v>371</v>
      </c>
      <c r="B336" s="5" t="s">
        <v>849</v>
      </c>
      <c r="C336" s="50">
        <v>1.5</v>
      </c>
    </row>
    <row r="337" spans="1:3" x14ac:dyDescent="0.3">
      <c r="A337" s="88" t="s">
        <v>365</v>
      </c>
      <c r="B337" s="5" t="s">
        <v>850</v>
      </c>
      <c r="C337" s="50">
        <v>3</v>
      </c>
    </row>
    <row r="338" spans="1:3" x14ac:dyDescent="0.3">
      <c r="A338" s="88" t="s">
        <v>366</v>
      </c>
      <c r="B338" s="5" t="s">
        <v>851</v>
      </c>
      <c r="C338" s="50">
        <v>3</v>
      </c>
    </row>
    <row r="339" spans="1:3" x14ac:dyDescent="0.3">
      <c r="A339" s="88" t="s">
        <v>390</v>
      </c>
      <c r="B339" s="5" t="s">
        <v>391</v>
      </c>
      <c r="C339" s="50">
        <v>3</v>
      </c>
    </row>
    <row r="340" spans="1:3" x14ac:dyDescent="0.3">
      <c r="A340" s="88" t="s">
        <v>376</v>
      </c>
      <c r="B340" s="5" t="s">
        <v>377</v>
      </c>
      <c r="C340" s="50">
        <v>3</v>
      </c>
    </row>
    <row r="341" spans="1:3" x14ac:dyDescent="0.3">
      <c r="A341" s="88" t="s">
        <v>387</v>
      </c>
      <c r="B341" s="5" t="s">
        <v>388</v>
      </c>
      <c r="C341" s="50">
        <v>2</v>
      </c>
    </row>
    <row r="342" spans="1:3" x14ac:dyDescent="0.3">
      <c r="A342" s="88" t="s">
        <v>328</v>
      </c>
      <c r="B342" s="5" t="s">
        <v>329</v>
      </c>
      <c r="C342" s="50">
        <v>2</v>
      </c>
    </row>
    <row r="343" spans="1:3" x14ac:dyDescent="0.3">
      <c r="A343" s="88" t="s">
        <v>852</v>
      </c>
      <c r="B343" s="5" t="s">
        <v>853</v>
      </c>
      <c r="C343" s="50">
        <v>3</v>
      </c>
    </row>
    <row r="344" spans="1:3" x14ac:dyDescent="0.3">
      <c r="A344" s="88" t="s">
        <v>854</v>
      </c>
      <c r="B344" s="5" t="s">
        <v>855</v>
      </c>
      <c r="C344" s="50">
        <v>3</v>
      </c>
    </row>
    <row r="345" spans="1:3" x14ac:dyDescent="0.3">
      <c r="A345" s="88" t="s">
        <v>363</v>
      </c>
      <c r="B345" s="5" t="s">
        <v>364</v>
      </c>
      <c r="C345" s="50">
        <v>3</v>
      </c>
    </row>
    <row r="346" spans="1:3" x14ac:dyDescent="0.3">
      <c r="A346" s="88" t="s">
        <v>361</v>
      </c>
      <c r="B346" s="5" t="s">
        <v>362</v>
      </c>
      <c r="C346" s="50">
        <v>3</v>
      </c>
    </row>
    <row r="347" spans="1:3" x14ac:dyDescent="0.3">
      <c r="A347" s="88" t="s">
        <v>372</v>
      </c>
      <c r="B347" s="5" t="s">
        <v>373</v>
      </c>
      <c r="C347" s="50">
        <v>2</v>
      </c>
    </row>
    <row r="348" spans="1:3" x14ac:dyDescent="0.3">
      <c r="A348" s="88" t="s">
        <v>370</v>
      </c>
      <c r="B348" s="5" t="s">
        <v>856</v>
      </c>
      <c r="C348" s="50">
        <v>3</v>
      </c>
    </row>
    <row r="349" spans="1:3" x14ac:dyDescent="0.3">
      <c r="A349" s="88" t="s">
        <v>389</v>
      </c>
      <c r="B349" s="5" t="s">
        <v>857</v>
      </c>
      <c r="C349" s="50">
        <v>1.5</v>
      </c>
    </row>
    <row r="350" spans="1:3" x14ac:dyDescent="0.3">
      <c r="A350" s="88" t="s">
        <v>389</v>
      </c>
      <c r="B350" s="5" t="s">
        <v>857</v>
      </c>
      <c r="C350" s="50">
        <v>1.5</v>
      </c>
    </row>
    <row r="351" spans="1:3" x14ac:dyDescent="0.3">
      <c r="A351" s="88" t="s">
        <v>359</v>
      </c>
      <c r="B351" s="5" t="s">
        <v>360</v>
      </c>
      <c r="C351" s="50">
        <v>3</v>
      </c>
    </row>
    <row r="352" spans="1:3" x14ac:dyDescent="0.3">
      <c r="A352" s="88" t="s">
        <v>367</v>
      </c>
      <c r="B352" s="5" t="s">
        <v>368</v>
      </c>
      <c r="C352" s="50">
        <v>3</v>
      </c>
    </row>
    <row r="353" spans="1:3" x14ac:dyDescent="0.3">
      <c r="A353" s="88" t="s">
        <v>374</v>
      </c>
      <c r="B353" s="5" t="s">
        <v>375</v>
      </c>
      <c r="C353" s="50">
        <v>3</v>
      </c>
    </row>
    <row r="354" spans="1:3" x14ac:dyDescent="0.3">
      <c r="A354" s="88" t="s">
        <v>392</v>
      </c>
      <c r="B354" s="5" t="s">
        <v>393</v>
      </c>
      <c r="C354" s="50">
        <v>3</v>
      </c>
    </row>
    <row r="355" spans="1:3" x14ac:dyDescent="0.3">
      <c r="A355" s="88" t="s">
        <v>860</v>
      </c>
      <c r="B355" s="5" t="s">
        <v>643</v>
      </c>
      <c r="C355" s="50">
        <v>3</v>
      </c>
    </row>
    <row r="356" spans="1:3" x14ac:dyDescent="0.3">
      <c r="A356" s="88" t="s">
        <v>385</v>
      </c>
      <c r="B356" s="5" t="s">
        <v>386</v>
      </c>
      <c r="C356" s="50">
        <v>2</v>
      </c>
    </row>
    <row r="357" spans="1:3" x14ac:dyDescent="0.3">
      <c r="A357" s="88" t="s">
        <v>861</v>
      </c>
      <c r="B357" s="5" t="s">
        <v>862</v>
      </c>
      <c r="C357" s="2">
        <v>3</v>
      </c>
    </row>
    <row r="358" spans="1:3" x14ac:dyDescent="0.3">
      <c r="A358" s="88" t="s">
        <v>322</v>
      </c>
      <c r="B358" s="5" t="s">
        <v>417</v>
      </c>
      <c r="C358" s="2">
        <v>2</v>
      </c>
    </row>
    <row r="359" spans="1:3" x14ac:dyDescent="0.3">
      <c r="A359" s="88" t="s">
        <v>322</v>
      </c>
      <c r="B359" s="5" t="s">
        <v>417</v>
      </c>
      <c r="C359" s="2">
        <v>2</v>
      </c>
    </row>
    <row r="360" spans="1:3" x14ac:dyDescent="0.3">
      <c r="A360" s="82" t="s">
        <v>308</v>
      </c>
      <c r="B360" s="20" t="s">
        <v>697</v>
      </c>
      <c r="C360" s="2">
        <v>2</v>
      </c>
    </row>
    <row r="361" spans="1:3" x14ac:dyDescent="0.3">
      <c r="A361" s="82" t="s">
        <v>308</v>
      </c>
      <c r="B361" s="20" t="s">
        <v>697</v>
      </c>
      <c r="C361" s="2">
        <v>2</v>
      </c>
    </row>
    <row r="362" spans="1:3" x14ac:dyDescent="0.3">
      <c r="A362" s="82" t="s">
        <v>308</v>
      </c>
      <c r="B362" s="20" t="s">
        <v>697</v>
      </c>
      <c r="C362" s="2">
        <v>2</v>
      </c>
    </row>
    <row r="363" spans="1:3" x14ac:dyDescent="0.3">
      <c r="A363" s="96" t="s">
        <v>352</v>
      </c>
      <c r="B363" s="51" t="s">
        <v>868</v>
      </c>
      <c r="C363" s="50">
        <v>2</v>
      </c>
    </row>
    <row r="364" spans="1:3" x14ac:dyDescent="0.3">
      <c r="A364" s="96" t="s">
        <v>352</v>
      </c>
      <c r="B364" s="51" t="s">
        <v>868</v>
      </c>
      <c r="C364" s="50">
        <v>2</v>
      </c>
    </row>
    <row r="365" spans="1:3" x14ac:dyDescent="0.3">
      <c r="A365" s="96" t="s">
        <v>352</v>
      </c>
      <c r="B365" s="51" t="s">
        <v>868</v>
      </c>
      <c r="C365" s="50">
        <v>2</v>
      </c>
    </row>
    <row r="366" spans="1:3" x14ac:dyDescent="0.3">
      <c r="A366" s="96" t="s">
        <v>352</v>
      </c>
      <c r="B366" s="51" t="s">
        <v>868</v>
      </c>
      <c r="C366" s="50">
        <v>2</v>
      </c>
    </row>
    <row r="367" spans="1:3" x14ac:dyDescent="0.3">
      <c r="A367" s="96" t="s">
        <v>352</v>
      </c>
      <c r="B367" s="51" t="s">
        <v>868</v>
      </c>
      <c r="C367" s="50">
        <v>2</v>
      </c>
    </row>
    <row r="368" spans="1:3" x14ac:dyDescent="0.3">
      <c r="A368" s="96" t="s">
        <v>352</v>
      </c>
      <c r="B368" s="51" t="s">
        <v>868</v>
      </c>
      <c r="C368" s="50">
        <v>2</v>
      </c>
    </row>
    <row r="369" spans="1:3" x14ac:dyDescent="0.3">
      <c r="A369" s="96" t="s">
        <v>352</v>
      </c>
      <c r="B369" s="51" t="s">
        <v>868</v>
      </c>
      <c r="C369" s="50">
        <v>2</v>
      </c>
    </row>
    <row r="370" spans="1:3" x14ac:dyDescent="0.3">
      <c r="A370" s="88" t="s">
        <v>356</v>
      </c>
      <c r="B370" s="20" t="s">
        <v>357</v>
      </c>
      <c r="C370" s="9">
        <v>2</v>
      </c>
    </row>
    <row r="371" spans="1:3" x14ac:dyDescent="0.3">
      <c r="A371" s="88" t="s">
        <v>356</v>
      </c>
      <c r="B371" s="20" t="s">
        <v>357</v>
      </c>
      <c r="C371" s="9">
        <v>2</v>
      </c>
    </row>
    <row r="372" spans="1:3" x14ac:dyDescent="0.3">
      <c r="A372" s="88" t="s">
        <v>356</v>
      </c>
      <c r="B372" s="20" t="s">
        <v>357</v>
      </c>
      <c r="C372" s="9">
        <v>2</v>
      </c>
    </row>
    <row r="373" spans="1:3" x14ac:dyDescent="0.3">
      <c r="A373" s="88" t="s">
        <v>356</v>
      </c>
      <c r="B373" s="20" t="s">
        <v>357</v>
      </c>
      <c r="C373" s="9">
        <v>2</v>
      </c>
    </row>
    <row r="374" spans="1:3" x14ac:dyDescent="0.3">
      <c r="A374" s="88" t="s">
        <v>356</v>
      </c>
      <c r="B374" s="20" t="s">
        <v>357</v>
      </c>
      <c r="C374" s="9">
        <v>2</v>
      </c>
    </row>
    <row r="375" spans="1:3" x14ac:dyDescent="0.3">
      <c r="A375" s="82" t="s">
        <v>324</v>
      </c>
      <c r="B375" s="20" t="s">
        <v>325</v>
      </c>
      <c r="C375" s="2">
        <v>2</v>
      </c>
    </row>
    <row r="376" spans="1:3" x14ac:dyDescent="0.3">
      <c r="A376" s="82" t="s">
        <v>324</v>
      </c>
      <c r="B376" s="20" t="s">
        <v>325</v>
      </c>
      <c r="C376" s="2">
        <v>2</v>
      </c>
    </row>
    <row r="377" spans="1:3" x14ac:dyDescent="0.3">
      <c r="A377" s="82" t="s">
        <v>324</v>
      </c>
      <c r="B377" s="20" t="s">
        <v>325</v>
      </c>
      <c r="C377" s="2">
        <v>2</v>
      </c>
    </row>
    <row r="378" spans="1:3" x14ac:dyDescent="0.3">
      <c r="A378" s="82" t="s">
        <v>324</v>
      </c>
      <c r="B378" s="20" t="s">
        <v>325</v>
      </c>
      <c r="C378" s="2">
        <v>2</v>
      </c>
    </row>
    <row r="379" spans="1:3" x14ac:dyDescent="0.3">
      <c r="A379" s="96" t="s">
        <v>527</v>
      </c>
      <c r="B379" s="20" t="s">
        <v>323</v>
      </c>
      <c r="C379" s="47">
        <v>2</v>
      </c>
    </row>
    <row r="380" spans="1:3" x14ac:dyDescent="0.3">
      <c r="A380" s="96" t="s">
        <v>939</v>
      </c>
      <c r="B380" s="20" t="s">
        <v>323</v>
      </c>
      <c r="C380" s="47">
        <v>2</v>
      </c>
    </row>
    <row r="381" spans="1:3" x14ac:dyDescent="0.3">
      <c r="A381" s="96" t="s">
        <v>940</v>
      </c>
      <c r="B381" s="20" t="s">
        <v>323</v>
      </c>
      <c r="C381" s="47">
        <v>2</v>
      </c>
    </row>
    <row r="382" spans="1:3" x14ac:dyDescent="0.3">
      <c r="A382" s="96" t="s">
        <v>941</v>
      </c>
      <c r="B382" s="20" t="s">
        <v>323</v>
      </c>
      <c r="C382" s="47">
        <v>2</v>
      </c>
    </row>
    <row r="383" spans="1:3" x14ac:dyDescent="0.3">
      <c r="A383" s="96" t="s">
        <v>942</v>
      </c>
      <c r="B383" s="20" t="s">
        <v>323</v>
      </c>
      <c r="C383" s="47">
        <v>2</v>
      </c>
    </row>
    <row r="384" spans="1:3" x14ac:dyDescent="0.3">
      <c r="A384" s="96" t="s">
        <v>943</v>
      </c>
      <c r="B384" s="20" t="s">
        <v>323</v>
      </c>
      <c r="C384" s="47">
        <v>2</v>
      </c>
    </row>
    <row r="385" spans="1:3" x14ac:dyDescent="0.3">
      <c r="A385" s="96" t="s">
        <v>944</v>
      </c>
      <c r="B385" s="20" t="s">
        <v>323</v>
      </c>
      <c r="C385" s="47">
        <v>2</v>
      </c>
    </row>
    <row r="386" spans="1:3" x14ac:dyDescent="0.3">
      <c r="A386" s="96" t="s">
        <v>945</v>
      </c>
      <c r="B386" s="20" t="s">
        <v>323</v>
      </c>
      <c r="C386" s="47">
        <v>2</v>
      </c>
    </row>
    <row r="387" spans="1:3" x14ac:dyDescent="0.3">
      <c r="A387" s="96" t="s">
        <v>946</v>
      </c>
      <c r="B387" s="20" t="s">
        <v>323</v>
      </c>
      <c r="C387" s="47">
        <v>2</v>
      </c>
    </row>
    <row r="388" spans="1:3" x14ac:dyDescent="0.3">
      <c r="A388" s="88" t="s">
        <v>930</v>
      </c>
      <c r="B388" s="20" t="s">
        <v>931</v>
      </c>
      <c r="C388" s="59">
        <v>3</v>
      </c>
    </row>
    <row r="389" spans="1:3" x14ac:dyDescent="0.3">
      <c r="A389" s="88" t="s">
        <v>930</v>
      </c>
      <c r="B389" s="20" t="s">
        <v>931</v>
      </c>
      <c r="C389" s="59">
        <v>3</v>
      </c>
    </row>
  </sheetData>
  <autoFilter ref="A1:C332" xr:uid="{00000000-0009-0000-0000-000004000000}"/>
  <conditionalFormatting sqref="A2:A4 A6:A8">
    <cfRule type="duplicateValues" dxfId="47" priority="15"/>
    <cfRule type="duplicateValues" dxfId="46" priority="16"/>
  </conditionalFormatting>
  <conditionalFormatting sqref="A9:A10 A12 A15">
    <cfRule type="duplicateValues" dxfId="45" priority="13"/>
    <cfRule type="duplicateValues" dxfId="44" priority="14"/>
  </conditionalFormatting>
  <conditionalFormatting sqref="A16:A22">
    <cfRule type="duplicateValues" dxfId="43" priority="11"/>
    <cfRule type="duplicateValues" dxfId="42" priority="12"/>
  </conditionalFormatting>
  <conditionalFormatting sqref="A24:A29">
    <cfRule type="duplicateValues" dxfId="41" priority="9"/>
    <cfRule type="duplicateValues" dxfId="40" priority="10"/>
  </conditionalFormatting>
  <conditionalFormatting sqref="A44:A46 A48:A50">
    <cfRule type="duplicateValues" dxfId="39" priority="7"/>
    <cfRule type="duplicateValues" dxfId="38" priority="8"/>
  </conditionalFormatting>
  <conditionalFormatting sqref="A56 A51 A53">
    <cfRule type="duplicateValues" dxfId="37" priority="5"/>
    <cfRule type="duplicateValues" dxfId="36" priority="6"/>
  </conditionalFormatting>
  <conditionalFormatting sqref="A57:A63">
    <cfRule type="duplicateValues" dxfId="35" priority="3"/>
    <cfRule type="duplicateValues" dxfId="34" priority="4"/>
  </conditionalFormatting>
  <conditionalFormatting sqref="A65:A66">
    <cfRule type="duplicateValues" dxfId="33" priority="1"/>
    <cfRule type="duplicateValues" dxfId="32" priority="2"/>
  </conditionalFormatting>
  <pageMargins left="0.7" right="0.7" top="0.75" bottom="0.75" header="0.3" footer="0.3"/>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42"/>
  <sheetViews>
    <sheetView topLeftCell="B1" workbookViewId="0">
      <selection activeCell="D8" sqref="D8"/>
    </sheetView>
  </sheetViews>
  <sheetFormatPr defaultRowHeight="14.4" x14ac:dyDescent="0.3"/>
  <cols>
    <col min="1" max="1" width="25.44140625" style="23" customWidth="1"/>
    <col min="2" max="2" width="18.88671875" style="34" customWidth="1"/>
    <col min="3" max="3" width="12.5546875" style="22" customWidth="1"/>
    <col min="4" max="4" width="47.88671875" style="22" customWidth="1"/>
    <col min="5" max="5" width="5.33203125" style="23" customWidth="1"/>
    <col min="6" max="6" width="9.44140625" style="23" customWidth="1"/>
    <col min="7" max="7" width="57.33203125" style="35" customWidth="1"/>
    <col min="8" max="8" width="7.6640625" customWidth="1"/>
    <col min="9" max="9" width="6.109375" customWidth="1"/>
  </cols>
  <sheetData>
    <row r="1" spans="1:10" ht="30" customHeight="1" x14ac:dyDescent="0.3">
      <c r="A1" s="7" t="s">
        <v>659</v>
      </c>
      <c r="B1" s="25" t="s">
        <v>196</v>
      </c>
      <c r="C1" s="6" t="s">
        <v>306</v>
      </c>
      <c r="D1" s="7" t="s">
        <v>307</v>
      </c>
      <c r="E1" s="7" t="s">
        <v>162</v>
      </c>
      <c r="F1" s="6" t="s">
        <v>0</v>
      </c>
      <c r="G1" s="7" t="s">
        <v>1</v>
      </c>
      <c r="H1" s="26" t="s">
        <v>660</v>
      </c>
      <c r="I1" s="26" t="s">
        <v>661</v>
      </c>
      <c r="J1" s="27"/>
    </row>
    <row r="2" spans="1:10" ht="15.75" customHeight="1" x14ac:dyDescent="0.3">
      <c r="A2" s="5" t="s">
        <v>667</v>
      </c>
      <c r="B2" s="51" t="s">
        <v>219</v>
      </c>
      <c r="C2" s="2" t="s">
        <v>420</v>
      </c>
      <c r="D2" s="5" t="s">
        <v>421</v>
      </c>
      <c r="E2" s="2">
        <v>2</v>
      </c>
      <c r="F2" s="5" t="s">
        <v>18</v>
      </c>
      <c r="G2" s="5" t="str">
        <f>VLOOKUP('[2]Beban Mengajar'!F2,[2]Dosen!A:B,2)</f>
        <v>Aditya Narendra Wardhana, S.T., M.SM.</v>
      </c>
      <c r="J2" s="5"/>
    </row>
    <row r="3" spans="1:10" ht="15.75" customHeight="1" x14ac:dyDescent="0.3">
      <c r="A3" s="5" t="s">
        <v>667</v>
      </c>
      <c r="B3" s="51" t="s">
        <v>218</v>
      </c>
      <c r="C3" s="2" t="s">
        <v>332</v>
      </c>
      <c r="D3" s="5" t="s">
        <v>333</v>
      </c>
      <c r="E3" s="47">
        <v>3</v>
      </c>
      <c r="F3" s="5" t="s">
        <v>154</v>
      </c>
      <c r="G3" s="5" t="str">
        <f>VLOOKUP('[2]Beban Mengajar'!F3,[2]Dosen!A:B,2)</f>
        <v>Rosa Rilantiana, S.E., M.M.</v>
      </c>
      <c r="J3" s="5"/>
    </row>
    <row r="4" spans="1:10" ht="15.75" customHeight="1" x14ac:dyDescent="0.3">
      <c r="A4" s="5" t="s">
        <v>667</v>
      </c>
      <c r="B4" s="52" t="s">
        <v>863</v>
      </c>
      <c r="C4" s="2" t="s">
        <v>431</v>
      </c>
      <c r="D4" s="5" t="s">
        <v>432</v>
      </c>
      <c r="E4" s="47">
        <v>3</v>
      </c>
      <c r="F4" s="53" t="s">
        <v>18</v>
      </c>
      <c r="G4" s="5" t="str">
        <f>VLOOKUP('[2]Beban Mengajar'!F4,[2]Dosen!A:B,2)</f>
        <v>Aditya Narendra Wardhana, S.T., M.SM.</v>
      </c>
      <c r="J4" s="5"/>
    </row>
    <row r="5" spans="1:10" ht="15.75" customHeight="1" x14ac:dyDescent="0.3">
      <c r="A5" s="5" t="s">
        <v>667</v>
      </c>
      <c r="B5" s="51" t="s">
        <v>220</v>
      </c>
      <c r="C5" s="2" t="s">
        <v>334</v>
      </c>
      <c r="D5" s="5" t="s">
        <v>335</v>
      </c>
      <c r="E5" s="47">
        <v>3</v>
      </c>
      <c r="F5" s="5" t="s">
        <v>18</v>
      </c>
      <c r="G5" s="5" t="str">
        <f>VLOOKUP('[2]Beban Mengajar'!F5,[2]Dosen!A:B,2)</f>
        <v>Aditya Narendra Wardhana, S.T., M.SM.</v>
      </c>
      <c r="J5" s="5"/>
    </row>
    <row r="6" spans="1:10" ht="15.75" customHeight="1" x14ac:dyDescent="0.3">
      <c r="A6" s="5" t="s">
        <v>667</v>
      </c>
      <c r="B6" s="51" t="s">
        <v>227</v>
      </c>
      <c r="C6" s="2" t="s">
        <v>700</v>
      </c>
      <c r="D6" s="5" t="s">
        <v>442</v>
      </c>
      <c r="E6" s="47">
        <v>3</v>
      </c>
      <c r="F6" s="5" t="s">
        <v>113</v>
      </c>
      <c r="G6" s="5" t="str">
        <f>VLOOKUP('[2]Beban Mengajar'!F6,[2]Dosen!A:B,2)</f>
        <v>Mirza Dwinanda Ilmawan, S.E., M.M.</v>
      </c>
      <c r="J6" s="5"/>
    </row>
    <row r="7" spans="1:10" ht="15.75" customHeight="1" x14ac:dyDescent="0.3">
      <c r="A7" s="5" t="s">
        <v>667</v>
      </c>
      <c r="B7" s="51" t="s">
        <v>219</v>
      </c>
      <c r="C7" s="2" t="s">
        <v>440</v>
      </c>
      <c r="D7" s="5" t="s">
        <v>338</v>
      </c>
      <c r="E7" s="47">
        <v>3</v>
      </c>
      <c r="F7" s="5" t="s">
        <v>16</v>
      </c>
      <c r="G7" s="5" t="str">
        <f>VLOOKUP('[2]Beban Mengajar'!F7,[2]Dosen!A:B,2)</f>
        <v>Alfina, S.M., M.M.</v>
      </c>
      <c r="J7" s="5"/>
    </row>
    <row r="8" spans="1:10" ht="16.5" customHeight="1" x14ac:dyDescent="0.3">
      <c r="A8" s="5" t="s">
        <v>667</v>
      </c>
      <c r="B8" s="52" t="s">
        <v>863</v>
      </c>
      <c r="C8" s="2" t="s">
        <v>703</v>
      </c>
      <c r="D8" s="5" t="s">
        <v>704</v>
      </c>
      <c r="E8" s="47">
        <v>3</v>
      </c>
      <c r="F8" s="53" t="s">
        <v>16</v>
      </c>
      <c r="G8" s="5" t="str">
        <f>VLOOKUP('[2]Beban Mengajar'!F8,[2]Dosen!A:B,2)</f>
        <v>Alfina, S.M., M.M.</v>
      </c>
      <c r="J8" s="5"/>
    </row>
    <row r="9" spans="1:10" ht="15.75" customHeight="1" x14ac:dyDescent="0.3">
      <c r="A9" s="5" t="s">
        <v>667</v>
      </c>
      <c r="B9" s="52" t="s">
        <v>863</v>
      </c>
      <c r="C9" s="2" t="s">
        <v>705</v>
      </c>
      <c r="D9" s="5" t="s">
        <v>706</v>
      </c>
      <c r="E9" s="47">
        <v>3</v>
      </c>
      <c r="F9" s="53" t="s">
        <v>16</v>
      </c>
      <c r="G9" s="5" t="str">
        <f>VLOOKUP('[2]Beban Mengajar'!F9,[2]Dosen!A:B,2)</f>
        <v>Alfina, S.M., M.M.</v>
      </c>
      <c r="J9" s="5"/>
    </row>
    <row r="10" spans="1:10" ht="15.75" customHeight="1" x14ac:dyDescent="0.3">
      <c r="A10" s="5" t="s">
        <v>667</v>
      </c>
      <c r="B10" s="51" t="s">
        <v>216</v>
      </c>
      <c r="C10" s="2" t="s">
        <v>332</v>
      </c>
      <c r="D10" s="5" t="s">
        <v>333</v>
      </c>
      <c r="E10" s="47">
        <v>3</v>
      </c>
      <c r="F10" s="5" t="s">
        <v>18</v>
      </c>
      <c r="G10" s="5" t="str">
        <f>VLOOKUP('[2]Beban Mengajar'!F10,[2]Dosen!A:B,2)</f>
        <v>Aditya Narendra Wardhana, S.T., M.SM.</v>
      </c>
      <c r="J10" s="5"/>
    </row>
    <row r="11" spans="1:10" ht="15.75" customHeight="1" x14ac:dyDescent="0.3">
      <c r="A11" s="5" t="s">
        <v>667</v>
      </c>
      <c r="B11" s="51" t="s">
        <v>221</v>
      </c>
      <c r="C11" s="2" t="s">
        <v>420</v>
      </c>
      <c r="D11" s="5" t="s">
        <v>421</v>
      </c>
      <c r="E11" s="2">
        <v>2</v>
      </c>
      <c r="F11" s="5" t="s">
        <v>16</v>
      </c>
      <c r="G11" s="5" t="str">
        <f>VLOOKUP('[2]Beban Mengajar'!F11,[2]Dosen!A:B,2)</f>
        <v>Alfina, S.M., M.M.</v>
      </c>
      <c r="J11" s="5"/>
    </row>
    <row r="12" spans="1:10" ht="16.5" customHeight="1" x14ac:dyDescent="0.3">
      <c r="A12" s="5" t="s">
        <v>667</v>
      </c>
      <c r="B12" s="51" t="s">
        <v>217</v>
      </c>
      <c r="C12" s="2" t="s">
        <v>332</v>
      </c>
      <c r="D12" s="5" t="s">
        <v>333</v>
      </c>
      <c r="E12" s="47">
        <v>3</v>
      </c>
      <c r="F12" s="5" t="s">
        <v>16</v>
      </c>
      <c r="G12" s="5" t="str">
        <f>VLOOKUP('[2]Beban Mengajar'!F12,[2]Dosen!A:B,2)</f>
        <v>Alfina, S.M., M.M.</v>
      </c>
      <c r="J12" s="5"/>
    </row>
    <row r="13" spans="1:10" ht="15.75" customHeight="1" x14ac:dyDescent="0.3">
      <c r="A13" s="5" t="s">
        <v>667</v>
      </c>
      <c r="B13" s="51" t="s">
        <v>217</v>
      </c>
      <c r="C13" s="2" t="s">
        <v>418</v>
      </c>
      <c r="D13" s="5" t="s">
        <v>419</v>
      </c>
      <c r="E13" s="47">
        <v>3</v>
      </c>
      <c r="F13" s="5" t="s">
        <v>109</v>
      </c>
      <c r="G13" s="5" t="str">
        <f>VLOOKUP('[2]Beban Mengajar'!F13,[2]Dosen!A:B,2)</f>
        <v>Muhammad Akbar, S.E., M.Acc., Ak.</v>
      </c>
      <c r="J13" s="5"/>
    </row>
    <row r="14" spans="1:10" ht="16.5" customHeight="1" x14ac:dyDescent="0.3">
      <c r="A14" s="5" t="s">
        <v>667</v>
      </c>
      <c r="B14" s="51" t="s">
        <v>219</v>
      </c>
      <c r="C14" s="2" t="s">
        <v>438</v>
      </c>
      <c r="D14" s="5" t="s">
        <v>439</v>
      </c>
      <c r="E14" s="47">
        <v>3</v>
      </c>
      <c r="F14" s="5" t="s">
        <v>690</v>
      </c>
      <c r="G14" s="5"/>
      <c r="H14" s="54" t="s">
        <v>662</v>
      </c>
      <c r="J14" s="5"/>
    </row>
    <row r="15" spans="1:10" ht="15.75" customHeight="1" x14ac:dyDescent="0.3">
      <c r="A15" s="5" t="s">
        <v>667</v>
      </c>
      <c r="B15" s="51" t="s">
        <v>220</v>
      </c>
      <c r="C15" s="2" t="s">
        <v>438</v>
      </c>
      <c r="D15" s="5" t="s">
        <v>439</v>
      </c>
      <c r="E15" s="47">
        <v>3</v>
      </c>
      <c r="F15" s="5" t="s">
        <v>690</v>
      </c>
      <c r="G15" s="5"/>
      <c r="H15" s="54" t="s">
        <v>662</v>
      </c>
      <c r="J15" s="5"/>
    </row>
    <row r="16" spans="1:10" ht="15.75" customHeight="1" x14ac:dyDescent="0.3">
      <c r="A16" s="5" t="s">
        <v>667</v>
      </c>
      <c r="B16" s="51" t="s">
        <v>221</v>
      </c>
      <c r="C16" s="2" t="s">
        <v>438</v>
      </c>
      <c r="D16" s="5" t="s">
        <v>439</v>
      </c>
      <c r="E16" s="47">
        <v>3</v>
      </c>
      <c r="F16" s="5" t="s">
        <v>49</v>
      </c>
      <c r="G16" s="5"/>
      <c r="H16" s="54" t="s">
        <v>662</v>
      </c>
      <c r="J16" s="5"/>
    </row>
    <row r="17" spans="1:10" ht="15.75" customHeight="1" x14ac:dyDescent="0.3">
      <c r="A17" s="5" t="s">
        <v>667</v>
      </c>
      <c r="B17" s="51" t="s">
        <v>227</v>
      </c>
      <c r="C17" s="2" t="s">
        <v>434</v>
      </c>
      <c r="D17" s="5" t="s">
        <v>435</v>
      </c>
      <c r="E17" s="2">
        <v>2</v>
      </c>
      <c r="F17" s="5" t="s">
        <v>26</v>
      </c>
      <c r="G17" s="5" t="str">
        <f>VLOOKUP('[2]Beban Mengajar'!F17,[2]Dosen!A:B,2)</f>
        <v>Brina Miftahurrohmah, S.Si., M.Si</v>
      </c>
      <c r="J17" s="5"/>
    </row>
    <row r="18" spans="1:10" ht="15.75" customHeight="1" x14ac:dyDescent="0.3">
      <c r="A18" s="5" t="s">
        <v>667</v>
      </c>
      <c r="B18" s="51" t="s">
        <v>227</v>
      </c>
      <c r="C18" s="2" t="s">
        <v>443</v>
      </c>
      <c r="D18" s="5" t="s">
        <v>701</v>
      </c>
      <c r="E18" s="47">
        <v>3</v>
      </c>
      <c r="F18" s="5" t="s">
        <v>36</v>
      </c>
      <c r="G18" s="5" t="str">
        <f>VLOOKUP('[2]Beban Mengajar'!F18,[2]Dosen!A:B,2)</f>
        <v>Dr. Erlina Diamastuti, S.E., M.Si., Ak, CA</v>
      </c>
      <c r="J18" s="5"/>
    </row>
    <row r="19" spans="1:10" ht="15.75" customHeight="1" x14ac:dyDescent="0.3">
      <c r="A19" s="5" t="s">
        <v>667</v>
      </c>
      <c r="B19" s="51" t="s">
        <v>224</v>
      </c>
      <c r="C19" s="2" t="s">
        <v>430</v>
      </c>
      <c r="D19" s="5" t="s">
        <v>437</v>
      </c>
      <c r="E19" s="47">
        <v>3</v>
      </c>
      <c r="F19" s="5" t="s">
        <v>8</v>
      </c>
      <c r="G19" s="5" t="str">
        <f>VLOOKUP('[2]Beban Mengajar'!F19,[2]Dosen!A:B,2)</f>
        <v>Ahmad Dahlan Malik, B.A.(Hons). M.Ec.</v>
      </c>
      <c r="J19" s="5"/>
    </row>
    <row r="20" spans="1:10" ht="15.75" customHeight="1" x14ac:dyDescent="0.3">
      <c r="A20" s="5" t="s">
        <v>667</v>
      </c>
      <c r="B20" s="51" t="s">
        <v>219</v>
      </c>
      <c r="C20" s="2" t="s">
        <v>337</v>
      </c>
      <c r="D20" s="5" t="s">
        <v>441</v>
      </c>
      <c r="E20" s="47">
        <v>3</v>
      </c>
      <c r="F20" s="5" t="s">
        <v>129</v>
      </c>
      <c r="G20" s="5" t="str">
        <f>VLOOKUP('[2]Beban Mengajar'!F20,[2]Dosen!A:B,2)</f>
        <v>Nur Eliza Faizaty, S.E., M.Si</v>
      </c>
      <c r="J20" s="5"/>
    </row>
    <row r="21" spans="1:10" ht="16.5" customHeight="1" x14ac:dyDescent="0.3">
      <c r="A21" s="5" t="s">
        <v>667</v>
      </c>
      <c r="B21" s="51" t="s">
        <v>219</v>
      </c>
      <c r="C21" s="2" t="s">
        <v>328</v>
      </c>
      <c r="D21" s="5" t="s">
        <v>329</v>
      </c>
      <c r="E21" s="47">
        <v>3</v>
      </c>
      <c r="F21" s="5" t="s">
        <v>129</v>
      </c>
      <c r="G21" s="5" t="str">
        <f>VLOOKUP('[2]Beban Mengajar'!F21,[2]Dosen!A:B,2)</f>
        <v>Nur Eliza Faizaty, S.E., M.Si</v>
      </c>
      <c r="J21" s="5"/>
    </row>
    <row r="22" spans="1:10" ht="15.75" customHeight="1" x14ac:dyDescent="0.3">
      <c r="A22" s="5" t="s">
        <v>667</v>
      </c>
      <c r="B22" s="51" t="s">
        <v>222</v>
      </c>
      <c r="C22" s="2" t="s">
        <v>426</v>
      </c>
      <c r="D22" s="5" t="s">
        <v>427</v>
      </c>
      <c r="E22" s="2">
        <v>2</v>
      </c>
      <c r="F22" s="5" t="s">
        <v>129</v>
      </c>
      <c r="G22" s="5" t="str">
        <f>VLOOKUP('[2]Beban Mengajar'!F22,[2]Dosen!A:B,2)</f>
        <v>Nur Eliza Faizaty, S.E., M.Si</v>
      </c>
      <c r="J22" s="5"/>
    </row>
    <row r="23" spans="1:10" ht="15.75" customHeight="1" x14ac:dyDescent="0.3">
      <c r="A23" s="5" t="s">
        <v>667</v>
      </c>
      <c r="B23" s="51" t="s">
        <v>220</v>
      </c>
      <c r="C23" s="2" t="s">
        <v>337</v>
      </c>
      <c r="D23" s="5" t="s">
        <v>441</v>
      </c>
      <c r="E23" s="47">
        <v>3</v>
      </c>
      <c r="F23" s="5" t="s">
        <v>129</v>
      </c>
      <c r="G23" s="5" t="str">
        <f>VLOOKUP('[2]Beban Mengajar'!F23,[2]Dosen!A:B,2)</f>
        <v>Nur Eliza Faizaty, S.E., M.Si</v>
      </c>
      <c r="J23" s="5"/>
    </row>
    <row r="24" spans="1:10" ht="15.75" customHeight="1" x14ac:dyDescent="0.3">
      <c r="A24" s="5" t="s">
        <v>667</v>
      </c>
      <c r="B24" s="51" t="s">
        <v>221</v>
      </c>
      <c r="C24" s="2" t="s">
        <v>337</v>
      </c>
      <c r="D24" s="5" t="s">
        <v>441</v>
      </c>
      <c r="E24" s="47">
        <v>3</v>
      </c>
      <c r="F24" s="5" t="s">
        <v>129</v>
      </c>
      <c r="G24" s="5" t="str">
        <f>VLOOKUP('[2]Beban Mengajar'!F24,[2]Dosen!A:B,2)</f>
        <v>Nur Eliza Faizaty, S.E., M.Si</v>
      </c>
      <c r="J24" s="5"/>
    </row>
    <row r="25" spans="1:10" ht="16.5" customHeight="1" x14ac:dyDescent="0.3">
      <c r="A25" s="5" t="s">
        <v>667</v>
      </c>
      <c r="B25" s="51" t="s">
        <v>221</v>
      </c>
      <c r="C25" s="2" t="s">
        <v>328</v>
      </c>
      <c r="D25" s="5" t="s">
        <v>329</v>
      </c>
      <c r="E25" s="47">
        <v>3</v>
      </c>
      <c r="F25" s="5" t="s">
        <v>129</v>
      </c>
      <c r="G25" s="5" t="str">
        <f>VLOOKUP('[2]Beban Mengajar'!F25,[2]Dosen!A:B,2)</f>
        <v>Nur Eliza Faizaty, S.E., M.Si</v>
      </c>
      <c r="J25" s="5"/>
    </row>
    <row r="26" spans="1:10" ht="15.75" customHeight="1" x14ac:dyDescent="0.3">
      <c r="A26" s="5" t="s">
        <v>667</v>
      </c>
      <c r="B26" s="51" t="s">
        <v>219</v>
      </c>
      <c r="C26" s="2" t="s">
        <v>326</v>
      </c>
      <c r="D26" s="5" t="s">
        <v>327</v>
      </c>
      <c r="E26" s="47">
        <v>3</v>
      </c>
      <c r="F26" s="5" t="s">
        <v>14</v>
      </c>
      <c r="G26" s="5" t="str">
        <f>VLOOKUP('[2]Beban Mengajar'!F26,[2]Dosen!A:B,2)</f>
        <v>Ahmad Hudaifah, S.E., M.Ec.</v>
      </c>
      <c r="J26" s="5"/>
    </row>
    <row r="27" spans="1:10" ht="16.5" customHeight="1" x14ac:dyDescent="0.3">
      <c r="A27" s="5" t="s">
        <v>667</v>
      </c>
      <c r="B27" s="51" t="s">
        <v>220</v>
      </c>
      <c r="C27" s="2" t="s">
        <v>326</v>
      </c>
      <c r="D27" s="5" t="s">
        <v>327</v>
      </c>
      <c r="E27" s="47">
        <v>3</v>
      </c>
      <c r="F27" s="5" t="s">
        <v>14</v>
      </c>
      <c r="G27" s="5" t="str">
        <f>VLOOKUP('[2]Beban Mengajar'!F27,[2]Dosen!A:B,2)</f>
        <v>Ahmad Hudaifah, S.E., M.Ec.</v>
      </c>
      <c r="J27" s="5"/>
    </row>
    <row r="28" spans="1:10" ht="17.25" customHeight="1" x14ac:dyDescent="0.3">
      <c r="A28" s="5" t="s">
        <v>667</v>
      </c>
      <c r="B28" s="51" t="s">
        <v>221</v>
      </c>
      <c r="C28" s="2" t="s">
        <v>326</v>
      </c>
      <c r="D28" s="5" t="s">
        <v>327</v>
      </c>
      <c r="E28" s="47">
        <v>3</v>
      </c>
      <c r="F28" s="5" t="s">
        <v>14</v>
      </c>
      <c r="G28" s="5" t="str">
        <f>VLOOKUP('[2]Beban Mengajar'!F28,[2]Dosen!A:B,2)</f>
        <v>Ahmad Hudaifah, S.E., M.Ec.</v>
      </c>
      <c r="J28" s="5"/>
    </row>
    <row r="29" spans="1:10" ht="16.5" customHeight="1" x14ac:dyDescent="0.3">
      <c r="A29" s="5" t="s">
        <v>667</v>
      </c>
      <c r="B29" s="51" t="s">
        <v>223</v>
      </c>
      <c r="C29" s="2" t="s">
        <v>426</v>
      </c>
      <c r="D29" s="5" t="s">
        <v>427</v>
      </c>
      <c r="E29" s="2">
        <v>2</v>
      </c>
      <c r="F29" s="5"/>
      <c r="G29" s="5"/>
      <c r="H29" s="54" t="s">
        <v>864</v>
      </c>
      <c r="J29" s="5"/>
    </row>
    <row r="30" spans="1:10" x14ac:dyDescent="0.3">
      <c r="A30" s="5" t="s">
        <v>667</v>
      </c>
      <c r="B30" s="51" t="s">
        <v>224</v>
      </c>
      <c r="C30" s="2" t="s">
        <v>426</v>
      </c>
      <c r="D30" s="5" t="s">
        <v>427</v>
      </c>
      <c r="E30" s="2">
        <v>2</v>
      </c>
      <c r="F30" s="5"/>
      <c r="G30" s="5"/>
      <c r="H30" s="54" t="s">
        <v>864</v>
      </c>
      <c r="J30" s="5"/>
    </row>
    <row r="31" spans="1:10" x14ac:dyDescent="0.3">
      <c r="A31" s="5" t="s">
        <v>667</v>
      </c>
      <c r="B31" s="51" t="s">
        <v>225</v>
      </c>
      <c r="C31" s="2" t="s">
        <v>423</v>
      </c>
      <c r="D31" s="5" t="s">
        <v>424</v>
      </c>
      <c r="E31" s="47">
        <v>3</v>
      </c>
      <c r="F31" s="5"/>
      <c r="G31" s="5"/>
      <c r="H31" s="54" t="s">
        <v>865</v>
      </c>
      <c r="J31" s="5"/>
    </row>
    <row r="32" spans="1:10" x14ac:dyDescent="0.3">
      <c r="A32" s="5" t="s">
        <v>667</v>
      </c>
      <c r="B32" s="51" t="s">
        <v>216</v>
      </c>
      <c r="C32" s="2" t="s">
        <v>324</v>
      </c>
      <c r="D32" s="35" t="s">
        <v>325</v>
      </c>
      <c r="E32" s="2">
        <v>2</v>
      </c>
      <c r="F32" s="5"/>
      <c r="G32" s="5"/>
      <c r="H32" s="54" t="s">
        <v>668</v>
      </c>
      <c r="I32">
        <v>105</v>
      </c>
      <c r="J32" s="5"/>
    </row>
    <row r="33" spans="1:10" x14ac:dyDescent="0.3">
      <c r="A33" s="5" t="s">
        <v>667</v>
      </c>
      <c r="B33" s="51" t="s">
        <v>226</v>
      </c>
      <c r="C33" s="2" t="s">
        <v>423</v>
      </c>
      <c r="D33" s="5" t="s">
        <v>424</v>
      </c>
      <c r="E33" s="47">
        <v>3</v>
      </c>
      <c r="F33" s="5"/>
      <c r="G33" s="5"/>
      <c r="H33" s="54" t="s">
        <v>668</v>
      </c>
      <c r="J33" s="5"/>
    </row>
    <row r="34" spans="1:10" x14ac:dyDescent="0.3">
      <c r="A34" s="5" t="s">
        <v>667</v>
      </c>
      <c r="B34" s="51" t="s">
        <v>217</v>
      </c>
      <c r="C34" s="2" t="s">
        <v>324</v>
      </c>
      <c r="D34" s="35" t="s">
        <v>325</v>
      </c>
      <c r="E34" s="2">
        <v>2</v>
      </c>
      <c r="F34" s="5"/>
      <c r="G34" s="5"/>
      <c r="H34" s="54" t="s">
        <v>668</v>
      </c>
      <c r="I34">
        <v>0</v>
      </c>
      <c r="J34" s="5"/>
    </row>
    <row r="35" spans="1:10" x14ac:dyDescent="0.3">
      <c r="A35" s="5" t="s">
        <v>667</v>
      </c>
      <c r="B35" s="51" t="s">
        <v>227</v>
      </c>
      <c r="C35" s="2" t="s">
        <v>423</v>
      </c>
      <c r="D35" s="5" t="s">
        <v>424</v>
      </c>
      <c r="E35" s="47">
        <v>3</v>
      </c>
      <c r="F35" s="5"/>
      <c r="G35" s="5"/>
      <c r="H35" s="54" t="s">
        <v>668</v>
      </c>
      <c r="J35" s="5"/>
    </row>
    <row r="36" spans="1:10" x14ac:dyDescent="0.3">
      <c r="A36" s="5" t="s">
        <v>667</v>
      </c>
      <c r="B36" s="51" t="s">
        <v>219</v>
      </c>
      <c r="C36" s="2" t="s">
        <v>334</v>
      </c>
      <c r="D36" s="5" t="s">
        <v>335</v>
      </c>
      <c r="E36" s="47">
        <v>3</v>
      </c>
      <c r="F36" s="5" t="s">
        <v>107</v>
      </c>
      <c r="G36" s="5" t="str">
        <f>VLOOKUP('[2]Beban Mengajar'!F36,[2]Dosen!A:B,2)</f>
        <v>Lisa Risfana Sari S.Si., M.Si</v>
      </c>
      <c r="J36" s="5"/>
    </row>
    <row r="37" spans="1:10" x14ac:dyDescent="0.3">
      <c r="A37" s="5" t="s">
        <v>667</v>
      </c>
      <c r="B37" s="51" t="s">
        <v>218</v>
      </c>
      <c r="C37" s="2" t="s">
        <v>448</v>
      </c>
      <c r="D37" s="5" t="s">
        <v>698</v>
      </c>
      <c r="E37" s="47">
        <v>3</v>
      </c>
      <c r="F37" s="5" t="s">
        <v>107</v>
      </c>
      <c r="G37" s="5" t="str">
        <f>VLOOKUP('[2]Beban Mengajar'!F37,[2]Dosen!A:B,2)</f>
        <v>Lisa Risfana Sari S.Si., M.Si</v>
      </c>
      <c r="J37" s="5"/>
    </row>
    <row r="38" spans="1:10" x14ac:dyDescent="0.3">
      <c r="A38" s="5" t="s">
        <v>667</v>
      </c>
      <c r="B38" s="51" t="s">
        <v>225</v>
      </c>
      <c r="C38" s="2" t="s">
        <v>434</v>
      </c>
      <c r="D38" s="5" t="s">
        <v>435</v>
      </c>
      <c r="E38" s="2">
        <v>2</v>
      </c>
      <c r="F38" s="5" t="s">
        <v>107</v>
      </c>
      <c r="G38" s="5" t="str">
        <f>VLOOKUP('[2]Beban Mengajar'!F38,[2]Dosen!A:B,2)</f>
        <v>Lisa Risfana Sari S.Si., M.Si</v>
      </c>
      <c r="J38" s="5"/>
    </row>
    <row r="39" spans="1:10" x14ac:dyDescent="0.3">
      <c r="A39" s="5" t="s">
        <v>667</v>
      </c>
      <c r="B39" s="51" t="s">
        <v>226</v>
      </c>
      <c r="C39" s="2" t="s">
        <v>434</v>
      </c>
      <c r="D39" s="5" t="s">
        <v>435</v>
      </c>
      <c r="E39" s="2">
        <v>2</v>
      </c>
      <c r="F39" s="5" t="s">
        <v>107</v>
      </c>
      <c r="G39" s="5" t="str">
        <f>VLOOKUP('[2]Beban Mengajar'!F39,[2]Dosen!A:B,2)</f>
        <v>Lisa Risfana Sari S.Si., M.Si</v>
      </c>
      <c r="J39" s="5"/>
    </row>
    <row r="40" spans="1:10" x14ac:dyDescent="0.3">
      <c r="A40" s="5" t="s">
        <v>667</v>
      </c>
      <c r="B40" s="51" t="s">
        <v>221</v>
      </c>
      <c r="C40" s="2" t="s">
        <v>334</v>
      </c>
      <c r="D40" s="5" t="s">
        <v>335</v>
      </c>
      <c r="E40" s="47">
        <v>3</v>
      </c>
      <c r="F40" s="5" t="s">
        <v>107</v>
      </c>
      <c r="G40" s="5" t="str">
        <f>VLOOKUP('[2]Beban Mengajar'!F40,[2]Dosen!A:B,2)</f>
        <v>Lisa Risfana Sari S.Si., M.Si</v>
      </c>
      <c r="J40" s="5"/>
    </row>
    <row r="41" spans="1:10" x14ac:dyDescent="0.3">
      <c r="A41" s="5" t="s">
        <v>667</v>
      </c>
      <c r="B41" s="51" t="s">
        <v>217</v>
      </c>
      <c r="C41" s="2" t="s">
        <v>448</v>
      </c>
      <c r="D41" s="5" t="s">
        <v>698</v>
      </c>
      <c r="E41" s="47">
        <v>3</v>
      </c>
      <c r="F41" s="5" t="s">
        <v>107</v>
      </c>
      <c r="G41" s="5" t="str">
        <f>VLOOKUP('[2]Beban Mengajar'!F41,[2]Dosen!A:B,2)</f>
        <v>Lisa Risfana Sari S.Si., M.Si</v>
      </c>
      <c r="J41" s="5"/>
    </row>
    <row r="42" spans="1:10" x14ac:dyDescent="0.3">
      <c r="A42" s="5" t="s">
        <v>667</v>
      </c>
      <c r="B42" s="51" t="s">
        <v>218</v>
      </c>
      <c r="C42" s="2" t="s">
        <v>418</v>
      </c>
      <c r="D42" s="5" t="s">
        <v>419</v>
      </c>
      <c r="E42" s="47">
        <v>3</v>
      </c>
      <c r="F42" s="5" t="s">
        <v>109</v>
      </c>
      <c r="G42" s="5" t="str">
        <f>VLOOKUP('[2]Beban Mengajar'!F42,[2]Dosen!A:B,2)</f>
        <v>Muhammad Akbar, S.E., M.Acc., Ak.</v>
      </c>
      <c r="J42" s="5"/>
    </row>
    <row r="43" spans="1:10" x14ac:dyDescent="0.3">
      <c r="A43" s="5" t="s">
        <v>667</v>
      </c>
      <c r="B43" s="51" t="s">
        <v>225</v>
      </c>
      <c r="C43" s="2" t="s">
        <v>699</v>
      </c>
      <c r="D43" s="5" t="s">
        <v>408</v>
      </c>
      <c r="E43" s="47">
        <v>3</v>
      </c>
      <c r="F43" s="5" t="s">
        <v>123</v>
      </c>
      <c r="G43" s="5" t="str">
        <f>VLOOKUP('[2]Beban Mengajar'!F43,[2]Dosen!A:B,2)</f>
        <v>Marisya Mahdia Khoirina, S.M., M.M.</v>
      </c>
      <c r="J43" s="5"/>
    </row>
    <row r="44" spans="1:10" x14ac:dyDescent="0.3">
      <c r="A44" s="5" t="s">
        <v>667</v>
      </c>
      <c r="B44" s="51" t="s">
        <v>220</v>
      </c>
      <c r="C44" s="2" t="s">
        <v>328</v>
      </c>
      <c r="D44" s="5" t="s">
        <v>329</v>
      </c>
      <c r="E44" s="47">
        <v>3</v>
      </c>
      <c r="F44" s="5" t="s">
        <v>123</v>
      </c>
      <c r="G44" s="5" t="str">
        <f>VLOOKUP('[2]Beban Mengajar'!F44,[2]Dosen!A:B,2)</f>
        <v>Marisya Mahdia Khoirina, S.M., M.M.</v>
      </c>
      <c r="J44" s="5"/>
    </row>
    <row r="45" spans="1:10" x14ac:dyDescent="0.3">
      <c r="A45" s="5" t="s">
        <v>667</v>
      </c>
      <c r="B45" s="51" t="s">
        <v>216</v>
      </c>
      <c r="C45" s="2" t="s">
        <v>418</v>
      </c>
      <c r="D45" s="5" t="s">
        <v>419</v>
      </c>
      <c r="E45" s="47">
        <v>3</v>
      </c>
      <c r="F45" s="5" t="s">
        <v>123</v>
      </c>
      <c r="G45" s="5" t="str">
        <f>VLOOKUP('[2]Beban Mengajar'!F45,[2]Dosen!A:B,2)</f>
        <v>Marisya Mahdia Khoirina, S.M., M.M.</v>
      </c>
      <c r="J45" s="5"/>
    </row>
    <row r="46" spans="1:10" x14ac:dyDescent="0.3">
      <c r="A46" s="5" t="s">
        <v>667</v>
      </c>
      <c r="B46" s="51" t="s">
        <v>226</v>
      </c>
      <c r="C46" s="2" t="s">
        <v>447</v>
      </c>
      <c r="D46" s="5" t="s">
        <v>347</v>
      </c>
      <c r="E46" s="2">
        <v>2</v>
      </c>
      <c r="F46" s="5" t="s">
        <v>123</v>
      </c>
      <c r="G46" s="5" t="str">
        <f>VLOOKUP('[2]Beban Mengajar'!F46,[2]Dosen!A:B,2)</f>
        <v>Marisya Mahdia Khoirina, S.M., M.M.</v>
      </c>
      <c r="J46" s="5"/>
    </row>
    <row r="47" spans="1:10" x14ac:dyDescent="0.3">
      <c r="A47" s="5" t="s">
        <v>667</v>
      </c>
      <c r="B47" s="51" t="s">
        <v>227</v>
      </c>
      <c r="C47" s="2" t="s">
        <v>447</v>
      </c>
      <c r="D47" s="5" t="s">
        <v>347</v>
      </c>
      <c r="E47" s="2">
        <v>2</v>
      </c>
      <c r="F47" s="5" t="s">
        <v>123</v>
      </c>
      <c r="G47" s="5" t="str">
        <f>VLOOKUP('[2]Beban Mengajar'!F47,[2]Dosen!A:B,2)</f>
        <v>Marisya Mahdia Khoirina, S.M., M.M.</v>
      </c>
      <c r="J47" s="5"/>
    </row>
    <row r="48" spans="1:10" x14ac:dyDescent="0.3">
      <c r="A48" s="5" t="s">
        <v>667</v>
      </c>
      <c r="B48" s="51" t="s">
        <v>218</v>
      </c>
      <c r="C48" s="2" t="s">
        <v>433</v>
      </c>
      <c r="D48" s="5" t="s">
        <v>409</v>
      </c>
      <c r="E48" s="47">
        <v>3</v>
      </c>
      <c r="F48" s="5" t="s">
        <v>113</v>
      </c>
      <c r="G48" s="5" t="str">
        <f>VLOOKUP('[2]Beban Mengajar'!F48,[2]Dosen!A:B,2)</f>
        <v>Mirza Dwinanda Ilmawan, S.E., M.M.</v>
      </c>
      <c r="J48" s="5"/>
    </row>
    <row r="49" spans="1:10" x14ac:dyDescent="0.3">
      <c r="A49" s="5" t="s">
        <v>667</v>
      </c>
      <c r="B49" s="51" t="s">
        <v>225</v>
      </c>
      <c r="C49" s="2" t="s">
        <v>700</v>
      </c>
      <c r="D49" s="5" t="s">
        <v>442</v>
      </c>
      <c r="E49" s="47">
        <v>3</v>
      </c>
      <c r="F49" s="5" t="s">
        <v>113</v>
      </c>
      <c r="G49" s="5" t="str">
        <f>VLOOKUP('[2]Beban Mengajar'!F49,[2]Dosen!A:B,2)</f>
        <v>Mirza Dwinanda Ilmawan, S.E., M.M.</v>
      </c>
      <c r="J49" s="5"/>
    </row>
    <row r="50" spans="1:10" x14ac:dyDescent="0.3">
      <c r="A50" s="5" t="s">
        <v>667</v>
      </c>
      <c r="B50" s="52" t="s">
        <v>863</v>
      </c>
      <c r="C50" s="2" t="s">
        <v>428</v>
      </c>
      <c r="D50" s="5" t="s">
        <v>429</v>
      </c>
      <c r="E50" s="47">
        <v>3</v>
      </c>
      <c r="F50" s="53" t="s">
        <v>45</v>
      </c>
      <c r="G50" s="5" t="str">
        <f>VLOOKUP('[2]Beban Mengajar'!F50,[2]Dosen!A:B,2)</f>
        <v>Dr. Gatot Kustyadji, S.E., M.Si</v>
      </c>
      <c r="J50" s="5"/>
    </row>
    <row r="51" spans="1:10" x14ac:dyDescent="0.3">
      <c r="A51" s="5" t="s">
        <v>667</v>
      </c>
      <c r="B51" s="52" t="s">
        <v>863</v>
      </c>
      <c r="C51" s="2" t="s">
        <v>436</v>
      </c>
      <c r="D51" s="5" t="s">
        <v>709</v>
      </c>
      <c r="E51" s="47">
        <v>3</v>
      </c>
      <c r="F51" s="53" t="s">
        <v>113</v>
      </c>
      <c r="G51" s="5" t="str">
        <f>VLOOKUP('[2]Beban Mengajar'!F51,[2]Dosen!A:B,2)</f>
        <v>Mirza Dwinanda Ilmawan, S.E., M.M.</v>
      </c>
      <c r="J51" s="5"/>
    </row>
    <row r="52" spans="1:10" x14ac:dyDescent="0.3">
      <c r="A52" s="5" t="s">
        <v>667</v>
      </c>
      <c r="B52" s="51" t="s">
        <v>220</v>
      </c>
      <c r="C52" s="2" t="s">
        <v>420</v>
      </c>
      <c r="D52" s="5" t="s">
        <v>421</v>
      </c>
      <c r="E52" s="2">
        <v>2</v>
      </c>
      <c r="F52" s="5" t="s">
        <v>152</v>
      </c>
      <c r="G52" s="5" t="str">
        <f>VLOOKUP('[2]Beban Mengajar'!F52,[2]Dosen!A:B,2)</f>
        <v>Roostikasari Nugraheni, S.Hum., M.Med.Kom.</v>
      </c>
      <c r="J52" s="5"/>
    </row>
    <row r="53" spans="1:10" x14ac:dyDescent="0.3">
      <c r="A53" s="5" t="s">
        <v>667</v>
      </c>
      <c r="B53" s="51" t="s">
        <v>226</v>
      </c>
      <c r="C53" s="2" t="s">
        <v>700</v>
      </c>
      <c r="D53" s="5" t="s">
        <v>442</v>
      </c>
      <c r="E53" s="47">
        <v>3</v>
      </c>
      <c r="F53" s="5" t="s">
        <v>113</v>
      </c>
      <c r="G53" s="5" t="str">
        <f>VLOOKUP('[2]Beban Mengajar'!F53,[2]Dosen!A:B,2)</f>
        <v>Mirza Dwinanda Ilmawan, S.E., M.M.</v>
      </c>
      <c r="J53" s="5"/>
    </row>
    <row r="54" spans="1:10" x14ac:dyDescent="0.3">
      <c r="A54" s="5" t="s">
        <v>667</v>
      </c>
      <c r="B54" s="51" t="s">
        <v>218</v>
      </c>
      <c r="C54" s="2" t="s">
        <v>324</v>
      </c>
      <c r="D54" s="35" t="s">
        <v>325</v>
      </c>
      <c r="E54" s="2">
        <v>2</v>
      </c>
      <c r="F54" s="5"/>
      <c r="G54" s="5"/>
      <c r="I54">
        <v>0</v>
      </c>
      <c r="J54" s="5"/>
    </row>
    <row r="55" spans="1:10" ht="15" customHeight="1" x14ac:dyDescent="0.3">
      <c r="A55" s="5" t="s">
        <v>667</v>
      </c>
      <c r="B55" s="51" t="s">
        <v>216</v>
      </c>
      <c r="C55" s="2" t="s">
        <v>444</v>
      </c>
      <c r="D55" s="5" t="s">
        <v>445</v>
      </c>
      <c r="E55" s="47">
        <v>3</v>
      </c>
      <c r="F55" s="5" t="s">
        <v>152</v>
      </c>
      <c r="G55" s="5" t="str">
        <f>VLOOKUP('[2]Beban Mengajar'!F55,[2]Dosen!A:B,2)</f>
        <v>Roostikasari Nugraheni, S.Hum., M.Med.Kom.</v>
      </c>
      <c r="J55" s="5"/>
    </row>
    <row r="56" spans="1:10" ht="15" customHeight="1" x14ac:dyDescent="0.3">
      <c r="A56" s="5" t="s">
        <v>667</v>
      </c>
      <c r="B56" s="51" t="s">
        <v>217</v>
      </c>
      <c r="C56" s="2" t="s">
        <v>444</v>
      </c>
      <c r="D56" s="5" t="s">
        <v>445</v>
      </c>
      <c r="E56" s="47">
        <v>3</v>
      </c>
      <c r="F56" s="5" t="s">
        <v>152</v>
      </c>
      <c r="G56" s="5" t="str">
        <f>VLOOKUP('[2]Beban Mengajar'!F56,[2]Dosen!A:B,2)</f>
        <v>Roostikasari Nugraheni, S.Hum., M.Med.Kom.</v>
      </c>
      <c r="J56" s="5"/>
    </row>
    <row r="57" spans="1:10" ht="15" customHeight="1" x14ac:dyDescent="0.3">
      <c r="A57" s="5" t="s">
        <v>667</v>
      </c>
      <c r="B57" s="52" t="s">
        <v>866</v>
      </c>
      <c r="C57" s="2" t="s">
        <v>422</v>
      </c>
      <c r="D57" s="5" t="s">
        <v>399</v>
      </c>
      <c r="E57" s="47">
        <v>3</v>
      </c>
      <c r="F57" s="5" t="s">
        <v>28</v>
      </c>
      <c r="G57" s="5" t="str">
        <f>VLOOKUP('[2]Beban Mengajar'!F57,[2]Dosen!A:B,2)</f>
        <v>Dr. Ir. Chabib Bahari, S.E., M.M.</v>
      </c>
      <c r="J57" s="5"/>
    </row>
    <row r="58" spans="1:10" ht="15" customHeight="1" x14ac:dyDescent="0.3">
      <c r="A58" s="5" t="s">
        <v>667</v>
      </c>
      <c r="B58" s="52" t="s">
        <v>863</v>
      </c>
      <c r="C58" s="2" t="s">
        <v>422</v>
      </c>
      <c r="D58" s="5" t="s">
        <v>399</v>
      </c>
      <c r="E58" s="47">
        <v>3</v>
      </c>
      <c r="F58" s="53" t="s">
        <v>28</v>
      </c>
      <c r="G58" s="5" t="str">
        <f>VLOOKUP('[2]Beban Mengajar'!F58,[2]Dosen!A:B,2)</f>
        <v>Dr. Ir. Chabib Bahari, S.E., M.M.</v>
      </c>
      <c r="J58" s="5"/>
    </row>
    <row r="59" spans="1:10" ht="15" customHeight="1" x14ac:dyDescent="0.3">
      <c r="A59" s="5" t="s">
        <v>667</v>
      </c>
      <c r="B59" s="51" t="s">
        <v>220</v>
      </c>
      <c r="C59" s="2" t="s">
        <v>440</v>
      </c>
      <c r="D59" s="5" t="s">
        <v>338</v>
      </c>
      <c r="E59" s="47">
        <v>3</v>
      </c>
      <c r="F59" s="5" t="s">
        <v>45</v>
      </c>
      <c r="G59" s="5" t="str">
        <f>VLOOKUP('[2]Beban Mengajar'!F59,[2]Dosen!A:B,2)</f>
        <v>Dr. Gatot Kustyadji, S.E., M.Si</v>
      </c>
      <c r="J59" s="5"/>
    </row>
    <row r="60" spans="1:10" ht="15" customHeight="1" x14ac:dyDescent="0.3">
      <c r="A60" s="5" t="s">
        <v>667</v>
      </c>
      <c r="B60" s="51" t="s">
        <v>216</v>
      </c>
      <c r="C60" s="2" t="s">
        <v>433</v>
      </c>
      <c r="D60" s="5" t="s">
        <v>409</v>
      </c>
      <c r="E60" s="47">
        <v>3</v>
      </c>
      <c r="F60" s="5" t="s">
        <v>45</v>
      </c>
      <c r="G60" s="5" t="str">
        <f>VLOOKUP('[2]Beban Mengajar'!F60,[2]Dosen!A:B,2)</f>
        <v>Dr. Gatot Kustyadji, S.E., M.Si</v>
      </c>
      <c r="J60" s="5"/>
    </row>
    <row r="61" spans="1:10" ht="15" customHeight="1" x14ac:dyDescent="0.3">
      <c r="A61" s="5" t="s">
        <v>667</v>
      </c>
      <c r="B61" s="51" t="s">
        <v>221</v>
      </c>
      <c r="C61" s="2" t="s">
        <v>440</v>
      </c>
      <c r="D61" s="5" t="s">
        <v>338</v>
      </c>
      <c r="E61" s="47">
        <v>3</v>
      </c>
      <c r="F61" s="5" t="s">
        <v>45</v>
      </c>
      <c r="G61" s="5" t="str">
        <f>VLOOKUP('[2]Beban Mengajar'!F61,[2]Dosen!A:B,2)</f>
        <v>Dr. Gatot Kustyadji, S.E., M.Si</v>
      </c>
      <c r="J61" s="5"/>
    </row>
    <row r="62" spans="1:10" ht="15" customHeight="1" x14ac:dyDescent="0.3">
      <c r="A62" s="5" t="s">
        <v>667</v>
      </c>
      <c r="B62" s="51" t="s">
        <v>217</v>
      </c>
      <c r="C62" s="2" t="s">
        <v>433</v>
      </c>
      <c r="D62" s="5" t="s">
        <v>409</v>
      </c>
      <c r="E62" s="47">
        <v>3</v>
      </c>
      <c r="F62" s="5" t="s">
        <v>45</v>
      </c>
      <c r="G62" s="5" t="str">
        <f>VLOOKUP('[2]Beban Mengajar'!F62,[2]Dosen!A:B,2)</f>
        <v>Dr. Gatot Kustyadji, S.E., M.Si</v>
      </c>
      <c r="J62" s="5"/>
    </row>
    <row r="63" spans="1:10" ht="15" customHeight="1" x14ac:dyDescent="0.3">
      <c r="A63" s="5" t="s">
        <v>667</v>
      </c>
      <c r="B63" s="51" t="s">
        <v>226</v>
      </c>
      <c r="C63" s="2" t="s">
        <v>699</v>
      </c>
      <c r="D63" s="5" t="s">
        <v>408</v>
      </c>
      <c r="E63" s="47">
        <v>3</v>
      </c>
      <c r="F63" s="5" t="s">
        <v>56</v>
      </c>
      <c r="G63" s="5" t="str">
        <f>VLOOKUP('[2]Beban Mengajar'!F63,[2]Dosen!A:B,2)</f>
        <v>Johan Samudra</v>
      </c>
      <c r="J63" s="5"/>
    </row>
    <row r="64" spans="1:10" ht="15" customHeight="1" x14ac:dyDescent="0.3">
      <c r="A64" s="5" t="s">
        <v>667</v>
      </c>
      <c r="B64" s="51" t="s">
        <v>227</v>
      </c>
      <c r="C64" s="2" t="s">
        <v>699</v>
      </c>
      <c r="D64" s="5" t="s">
        <v>408</v>
      </c>
      <c r="E64" s="47">
        <v>3</v>
      </c>
      <c r="F64" s="5" t="s">
        <v>56</v>
      </c>
      <c r="G64" s="5" t="str">
        <f>VLOOKUP('[2]Beban Mengajar'!F64,[2]Dosen!A:B,2)</f>
        <v>Johan Samudra</v>
      </c>
      <c r="J64" s="5"/>
    </row>
    <row r="65" spans="1:10" ht="15" customHeight="1" x14ac:dyDescent="0.3">
      <c r="A65" s="5" t="s">
        <v>667</v>
      </c>
      <c r="B65" s="51" t="s">
        <v>223</v>
      </c>
      <c r="C65" s="2" t="s">
        <v>702</v>
      </c>
      <c r="D65" s="5" t="s">
        <v>446</v>
      </c>
      <c r="E65" s="47">
        <v>3</v>
      </c>
      <c r="F65" s="5" t="s">
        <v>174</v>
      </c>
      <c r="G65" s="5" t="str">
        <f>VLOOKUP('[2]Beban Mengajar'!F65,[2]Dosen!A:B,2)</f>
        <v>Prof. Tjiptohadi Sawarjuwono, M.Ec., Ph.D., CPA., CA.</v>
      </c>
      <c r="J65" s="5"/>
    </row>
    <row r="66" spans="1:10" ht="15" customHeight="1" x14ac:dyDescent="0.3">
      <c r="A66" s="5" t="s">
        <v>667</v>
      </c>
      <c r="B66" s="51" t="s">
        <v>218</v>
      </c>
      <c r="C66" s="2" t="s">
        <v>444</v>
      </c>
      <c r="D66" s="5" t="s">
        <v>445</v>
      </c>
      <c r="E66" s="47">
        <v>3</v>
      </c>
      <c r="F66" s="5" t="s">
        <v>154</v>
      </c>
      <c r="G66" s="5" t="str">
        <f>VLOOKUP('[2]Beban Mengajar'!F66,[2]Dosen!A:B,2)</f>
        <v>Rosa Rilantiana, S.E., M.M.</v>
      </c>
      <c r="J66" s="5"/>
    </row>
    <row r="67" spans="1:10" ht="15" customHeight="1" x14ac:dyDescent="0.3">
      <c r="A67" s="5" t="s">
        <v>667</v>
      </c>
      <c r="B67" s="51" t="s">
        <v>225</v>
      </c>
      <c r="C67" s="2" t="s">
        <v>447</v>
      </c>
      <c r="D67" s="5" t="s">
        <v>347</v>
      </c>
      <c r="E67" s="2">
        <v>2</v>
      </c>
      <c r="F67" s="5" t="s">
        <v>154</v>
      </c>
      <c r="G67" s="5" t="str">
        <f>VLOOKUP('[2]Beban Mengajar'!F67,[2]Dosen!A:B,2)</f>
        <v>Rosa Rilantiana, S.E., M.M.</v>
      </c>
      <c r="J67" s="5"/>
    </row>
    <row r="68" spans="1:10" ht="15" customHeight="1" x14ac:dyDescent="0.3">
      <c r="A68" s="5" t="s">
        <v>667</v>
      </c>
      <c r="B68" s="51" t="s">
        <v>222</v>
      </c>
      <c r="C68" s="2" t="s">
        <v>702</v>
      </c>
      <c r="D68" s="5" t="s">
        <v>446</v>
      </c>
      <c r="E68" s="47">
        <v>3</v>
      </c>
      <c r="F68" s="5" t="s">
        <v>154</v>
      </c>
      <c r="G68" s="5" t="str">
        <f>VLOOKUP('[2]Beban Mengajar'!F68,[2]Dosen!A:B,2)</f>
        <v>Rosa Rilantiana, S.E., M.M.</v>
      </c>
      <c r="J68" s="5"/>
    </row>
    <row r="69" spans="1:10" ht="15" customHeight="1" x14ac:dyDescent="0.3">
      <c r="A69" s="5" t="s">
        <v>667</v>
      </c>
      <c r="B69" s="51" t="s">
        <v>224</v>
      </c>
      <c r="C69" s="2" t="s">
        <v>702</v>
      </c>
      <c r="D69" s="5" t="s">
        <v>446</v>
      </c>
      <c r="E69" s="47">
        <v>3</v>
      </c>
      <c r="F69" s="5" t="s">
        <v>154</v>
      </c>
      <c r="G69" s="5" t="str">
        <f>VLOOKUP('[2]Beban Mengajar'!F69,[2]Dosen!A:B,2)</f>
        <v>Rosa Rilantiana, S.E., M.M.</v>
      </c>
      <c r="J69" s="5"/>
    </row>
    <row r="70" spans="1:10" ht="15" customHeight="1" x14ac:dyDescent="0.3">
      <c r="A70" s="5" t="s">
        <v>667</v>
      </c>
      <c r="B70" s="51" t="s">
        <v>216</v>
      </c>
      <c r="C70" s="2" t="s">
        <v>448</v>
      </c>
      <c r="D70" s="5" t="s">
        <v>698</v>
      </c>
      <c r="E70" s="47">
        <v>3</v>
      </c>
      <c r="F70" s="5" t="s">
        <v>166</v>
      </c>
      <c r="G70" s="5" t="str">
        <f>VLOOKUP('[2]Beban Mengajar'!F70,[2]Dosen!A:B,2)</f>
        <v>Sekarsari Utami Wijaya, S.Stat</v>
      </c>
      <c r="J70" s="5"/>
    </row>
    <row r="71" spans="1:10" ht="15" customHeight="1" x14ac:dyDescent="0.3">
      <c r="A71" s="5" t="s">
        <v>667</v>
      </c>
      <c r="B71" s="51" t="s">
        <v>218</v>
      </c>
      <c r="C71" s="2" t="s">
        <v>308</v>
      </c>
      <c r="D71" s="35" t="s">
        <v>697</v>
      </c>
      <c r="E71" s="2">
        <v>2</v>
      </c>
      <c r="F71" s="5"/>
      <c r="G71" s="5"/>
      <c r="H71" s="54" t="s">
        <v>74</v>
      </c>
      <c r="I71">
        <v>105</v>
      </c>
      <c r="J71" s="5"/>
    </row>
    <row r="72" spans="1:10" ht="15" customHeight="1" x14ac:dyDescent="0.3">
      <c r="A72" s="5" t="s">
        <v>667</v>
      </c>
      <c r="B72" s="51" t="s">
        <v>225</v>
      </c>
      <c r="C72" s="2" t="s">
        <v>322</v>
      </c>
      <c r="D72" s="5" t="s">
        <v>323</v>
      </c>
      <c r="E72" s="2">
        <v>2</v>
      </c>
      <c r="F72" s="5"/>
      <c r="G72" s="5"/>
      <c r="H72" s="54" t="s">
        <v>867</v>
      </c>
      <c r="I72">
        <v>102</v>
      </c>
      <c r="J72" s="5"/>
    </row>
    <row r="73" spans="1:10" ht="15" customHeight="1" x14ac:dyDescent="0.3">
      <c r="A73" s="5" t="s">
        <v>667</v>
      </c>
      <c r="B73" s="51" t="s">
        <v>222</v>
      </c>
      <c r="C73" s="2" t="s">
        <v>352</v>
      </c>
      <c r="D73" s="55" t="s">
        <v>868</v>
      </c>
      <c r="E73" s="2">
        <v>2</v>
      </c>
      <c r="F73" s="5"/>
      <c r="G73" s="5"/>
      <c r="H73" s="54" t="s">
        <v>867</v>
      </c>
      <c r="I73">
        <v>96</v>
      </c>
      <c r="J73" s="5"/>
    </row>
    <row r="74" spans="1:10" ht="15" customHeight="1" x14ac:dyDescent="0.3">
      <c r="A74" s="5" t="s">
        <v>667</v>
      </c>
      <c r="B74" s="51" t="s">
        <v>216</v>
      </c>
      <c r="C74" s="2" t="s">
        <v>308</v>
      </c>
      <c r="D74" s="35" t="s">
        <v>697</v>
      </c>
      <c r="E74" s="2">
        <v>2</v>
      </c>
      <c r="F74" s="5"/>
      <c r="G74" s="5"/>
      <c r="H74" s="54" t="s">
        <v>74</v>
      </c>
      <c r="I74">
        <v>0</v>
      </c>
      <c r="J74" s="5"/>
    </row>
    <row r="75" spans="1:10" ht="15" customHeight="1" x14ac:dyDescent="0.3">
      <c r="A75" s="5" t="s">
        <v>667</v>
      </c>
      <c r="B75" s="51" t="s">
        <v>226</v>
      </c>
      <c r="C75" s="2" t="s">
        <v>322</v>
      </c>
      <c r="D75" s="5" t="s">
        <v>323</v>
      </c>
      <c r="E75" s="2">
        <v>2</v>
      </c>
      <c r="F75" s="5"/>
      <c r="G75" s="5"/>
      <c r="H75" s="54" t="s">
        <v>867</v>
      </c>
      <c r="I75">
        <v>0</v>
      </c>
      <c r="J75" s="5"/>
    </row>
    <row r="76" spans="1:10" ht="15" customHeight="1" x14ac:dyDescent="0.3">
      <c r="A76" s="5" t="s">
        <v>667</v>
      </c>
      <c r="B76" s="51" t="s">
        <v>223</v>
      </c>
      <c r="C76" s="2" t="s">
        <v>352</v>
      </c>
      <c r="D76" s="55" t="s">
        <v>868</v>
      </c>
      <c r="E76" s="2">
        <v>2</v>
      </c>
      <c r="F76" s="5"/>
      <c r="G76" s="5"/>
      <c r="H76" s="54" t="s">
        <v>867</v>
      </c>
      <c r="I76">
        <v>0</v>
      </c>
      <c r="J76" s="5"/>
    </row>
    <row r="77" spans="1:10" ht="15" customHeight="1" x14ac:dyDescent="0.3">
      <c r="A77" s="5" t="s">
        <v>667</v>
      </c>
      <c r="B77" s="51" t="s">
        <v>217</v>
      </c>
      <c r="C77" s="2" t="s">
        <v>308</v>
      </c>
      <c r="D77" s="35" t="s">
        <v>697</v>
      </c>
      <c r="E77" s="2">
        <v>2</v>
      </c>
      <c r="F77" s="5"/>
      <c r="G77" s="5"/>
      <c r="H77" s="54" t="s">
        <v>74</v>
      </c>
      <c r="I77">
        <v>0</v>
      </c>
      <c r="J77" s="5"/>
    </row>
    <row r="78" spans="1:10" ht="15" customHeight="1" x14ac:dyDescent="0.3">
      <c r="A78" s="5" t="s">
        <v>667</v>
      </c>
      <c r="B78" s="51" t="s">
        <v>227</v>
      </c>
      <c r="C78" s="2" t="s">
        <v>322</v>
      </c>
      <c r="D78" s="5" t="s">
        <v>323</v>
      </c>
      <c r="E78" s="2">
        <v>2</v>
      </c>
      <c r="F78" s="5"/>
      <c r="G78" s="5"/>
      <c r="H78" s="54" t="s">
        <v>867</v>
      </c>
      <c r="I78">
        <v>0</v>
      </c>
      <c r="J78" s="5"/>
    </row>
    <row r="79" spans="1:10" ht="15" customHeight="1" x14ac:dyDescent="0.3">
      <c r="A79" s="5" t="s">
        <v>667</v>
      </c>
      <c r="B79" s="51" t="s">
        <v>224</v>
      </c>
      <c r="C79" s="2" t="s">
        <v>352</v>
      </c>
      <c r="D79" s="55" t="s">
        <v>868</v>
      </c>
      <c r="E79" s="2">
        <v>2</v>
      </c>
      <c r="F79" s="5"/>
      <c r="G79" s="5"/>
      <c r="H79" s="54" t="s">
        <v>867</v>
      </c>
      <c r="I79">
        <v>0</v>
      </c>
      <c r="J79" s="5"/>
    </row>
    <row r="80" spans="1:10" ht="15" customHeight="1" x14ac:dyDescent="0.3">
      <c r="A80" s="5" t="s">
        <v>667</v>
      </c>
      <c r="B80" s="51" t="s">
        <v>225</v>
      </c>
      <c r="C80" s="2" t="s">
        <v>443</v>
      </c>
      <c r="D80" s="5" t="s">
        <v>701</v>
      </c>
      <c r="E80" s="47">
        <v>3</v>
      </c>
      <c r="F80" s="5" t="s">
        <v>191</v>
      </c>
      <c r="G80" s="5" t="str">
        <f>VLOOKUP('[2]Beban Mengajar'!F80,[2]Dosen!A:B,2)</f>
        <v>Yanuar Trisnowati, S.E., M.M.</v>
      </c>
      <c r="J80" s="5"/>
    </row>
    <row r="81" spans="1:10" ht="15" customHeight="1" x14ac:dyDescent="0.3">
      <c r="A81" s="5" t="s">
        <v>667</v>
      </c>
      <c r="B81" s="51" t="s">
        <v>222</v>
      </c>
      <c r="C81" s="2" t="s">
        <v>430</v>
      </c>
      <c r="D81" s="5" t="s">
        <v>437</v>
      </c>
      <c r="E81" s="47">
        <v>3</v>
      </c>
      <c r="F81" s="5" t="s">
        <v>191</v>
      </c>
      <c r="G81" s="5" t="str">
        <f>VLOOKUP('[2]Beban Mengajar'!F81,[2]Dosen!A:B,2)</f>
        <v>Yanuar Trisnowati, S.E., M.M.</v>
      </c>
      <c r="J81" s="5"/>
    </row>
    <row r="82" spans="1:10" ht="15" customHeight="1" x14ac:dyDescent="0.3">
      <c r="A82" s="5" t="s">
        <v>667</v>
      </c>
      <c r="B82" s="52" t="s">
        <v>863</v>
      </c>
      <c r="C82" s="2" t="s">
        <v>707</v>
      </c>
      <c r="D82" s="5" t="s">
        <v>708</v>
      </c>
      <c r="E82" s="47">
        <v>3</v>
      </c>
      <c r="F82" s="53" t="s">
        <v>160</v>
      </c>
      <c r="G82" s="5" t="str">
        <f>VLOOKUP('[2]Beban Mengajar'!F82,[2]Dosen!A:B,2)</f>
        <v>Sugeng Firdausi, S.E., Ak.,  M.M. MIFP.</v>
      </c>
      <c r="J82" s="5"/>
    </row>
    <row r="83" spans="1:10" ht="15" customHeight="1" x14ac:dyDescent="0.3">
      <c r="A83" s="5" t="s">
        <v>667</v>
      </c>
      <c r="B83" s="52" t="s">
        <v>863</v>
      </c>
      <c r="C83" s="5" t="s">
        <v>957</v>
      </c>
      <c r="D83" s="5" t="s">
        <v>341</v>
      </c>
      <c r="E83" s="47">
        <v>3</v>
      </c>
      <c r="F83" s="5" t="s">
        <v>191</v>
      </c>
      <c r="G83" s="5" t="str">
        <f>VLOOKUP('[2]Beban Mengajar'!F83,[2]Dosen!A:B,2)</f>
        <v>Yanuar Trisnowati, S.E., M.M.</v>
      </c>
      <c r="J83" s="5"/>
    </row>
    <row r="84" spans="1:10" ht="15" customHeight="1" x14ac:dyDescent="0.3">
      <c r="A84" s="5" t="s">
        <v>667</v>
      </c>
      <c r="B84" s="51" t="s">
        <v>226</v>
      </c>
      <c r="C84" s="2" t="s">
        <v>443</v>
      </c>
      <c r="D84" s="5" t="s">
        <v>701</v>
      </c>
      <c r="E84" s="47">
        <v>3</v>
      </c>
      <c r="F84" s="5" t="s">
        <v>191</v>
      </c>
      <c r="G84" s="5" t="str">
        <f>VLOOKUP('[2]Beban Mengajar'!F84,[2]Dosen!A:B,2)</f>
        <v>Yanuar Trisnowati, S.E., M.M.</v>
      </c>
      <c r="J84" s="5"/>
    </row>
    <row r="85" spans="1:10" x14ac:dyDescent="0.3">
      <c r="A85" s="5" t="s">
        <v>667</v>
      </c>
      <c r="B85" s="51" t="s">
        <v>223</v>
      </c>
      <c r="C85" s="2" t="s">
        <v>430</v>
      </c>
      <c r="D85" s="5" t="s">
        <v>437</v>
      </c>
      <c r="E85" s="47">
        <v>3</v>
      </c>
      <c r="F85" s="5" t="s">
        <v>191</v>
      </c>
      <c r="G85" s="5" t="str">
        <f>VLOOKUP('[2]Beban Mengajar'!F85,[2]Dosen!A:B,2)</f>
        <v>Yanuar Trisnowati, S.E., M.M.</v>
      </c>
      <c r="J85" s="5"/>
    </row>
    <row r="86" spans="1:10" x14ac:dyDescent="0.3">
      <c r="A86" s="5" t="s">
        <v>662</v>
      </c>
      <c r="B86" s="20" t="s">
        <v>201</v>
      </c>
      <c r="C86" s="5" t="s">
        <v>328</v>
      </c>
      <c r="D86" s="5" t="s">
        <v>329</v>
      </c>
      <c r="E86" s="9">
        <v>3</v>
      </c>
      <c r="F86" s="5" t="s">
        <v>52</v>
      </c>
      <c r="G86" s="5"/>
      <c r="J86" s="5"/>
    </row>
    <row r="87" spans="1:10" x14ac:dyDescent="0.3">
      <c r="A87" s="5" t="s">
        <v>662</v>
      </c>
      <c r="B87" s="20" t="s">
        <v>201</v>
      </c>
      <c r="C87" s="5" t="s">
        <v>326</v>
      </c>
      <c r="D87" s="5" t="s">
        <v>327</v>
      </c>
      <c r="E87" s="9">
        <v>3</v>
      </c>
      <c r="F87" s="5" t="s">
        <v>40</v>
      </c>
      <c r="G87" s="5"/>
      <c r="J87" s="5"/>
    </row>
    <row r="88" spans="1:10" x14ac:dyDescent="0.3">
      <c r="A88" s="5" t="s">
        <v>662</v>
      </c>
      <c r="B88" s="20" t="s">
        <v>201</v>
      </c>
      <c r="C88" s="5" t="s">
        <v>309</v>
      </c>
      <c r="D88" s="5" t="s">
        <v>310</v>
      </c>
      <c r="E88" s="9">
        <v>3</v>
      </c>
      <c r="F88" s="5" t="s">
        <v>49</v>
      </c>
      <c r="G88" s="5" t="str">
        <f>VLOOKUP('[2]Beban Mengajar'!F88,[2]Dosen!A:B,2)</f>
        <v>Husnunnida Maharani</v>
      </c>
      <c r="J88" s="5"/>
    </row>
    <row r="89" spans="1:10" ht="15" customHeight="1" x14ac:dyDescent="0.3">
      <c r="A89" s="5" t="s">
        <v>662</v>
      </c>
      <c r="B89" s="20" t="s">
        <v>201</v>
      </c>
      <c r="C89" s="5" t="s">
        <v>334</v>
      </c>
      <c r="D89" s="5" t="s">
        <v>335</v>
      </c>
      <c r="E89" s="9">
        <v>3</v>
      </c>
      <c r="F89" s="5" t="s">
        <v>18</v>
      </c>
      <c r="G89" s="5"/>
      <c r="J89" s="5"/>
    </row>
    <row r="90" spans="1:10" ht="15" customHeight="1" x14ac:dyDescent="0.3">
      <c r="A90" s="5" t="s">
        <v>662</v>
      </c>
      <c r="B90" s="20" t="s">
        <v>201</v>
      </c>
      <c r="C90" s="5" t="s">
        <v>348</v>
      </c>
      <c r="D90" s="5" t="s">
        <v>349</v>
      </c>
      <c r="E90" s="9">
        <v>3</v>
      </c>
      <c r="F90" s="5" t="s">
        <v>117</v>
      </c>
      <c r="G90" s="5"/>
      <c r="J90" s="5"/>
    </row>
    <row r="91" spans="1:10" ht="15" customHeight="1" x14ac:dyDescent="0.3">
      <c r="A91" s="5" t="s">
        <v>662</v>
      </c>
      <c r="B91" s="20" t="s">
        <v>201</v>
      </c>
      <c r="C91" s="5" t="s">
        <v>337</v>
      </c>
      <c r="D91" s="5" t="s">
        <v>338</v>
      </c>
      <c r="E91" s="9">
        <v>3</v>
      </c>
      <c r="F91" s="5" t="s">
        <v>154</v>
      </c>
      <c r="G91" s="5"/>
      <c r="J91" s="5"/>
    </row>
    <row r="92" spans="1:10" ht="15" customHeight="1" x14ac:dyDescent="0.3">
      <c r="A92" s="5" t="s">
        <v>662</v>
      </c>
      <c r="B92" s="20" t="s">
        <v>199</v>
      </c>
      <c r="C92" s="5" t="s">
        <v>308</v>
      </c>
      <c r="D92" s="35" t="s">
        <v>697</v>
      </c>
      <c r="E92" s="9">
        <v>2</v>
      </c>
      <c r="F92" s="5"/>
      <c r="G92" s="5"/>
      <c r="H92" t="s">
        <v>74</v>
      </c>
      <c r="I92">
        <v>51</v>
      </c>
      <c r="J92" s="5"/>
    </row>
    <row r="93" spans="1:10" ht="15" customHeight="1" x14ac:dyDescent="0.3">
      <c r="A93" s="5" t="s">
        <v>662</v>
      </c>
      <c r="B93" s="20" t="s">
        <v>199</v>
      </c>
      <c r="C93" s="5" t="s">
        <v>354</v>
      </c>
      <c r="D93" s="5" t="s">
        <v>355</v>
      </c>
      <c r="E93" s="9">
        <v>3</v>
      </c>
      <c r="F93" s="5" t="s">
        <v>160</v>
      </c>
      <c r="G93" s="5" t="str">
        <f>VLOOKUP('[2]Beban Mengajar'!F93,[2]Dosen!A:B,2)</f>
        <v>Sugeng Firdausi, S.E., Ak.,  M.M. MIFP.</v>
      </c>
      <c r="J93" s="5"/>
    </row>
    <row r="94" spans="1:10" ht="15" customHeight="1" x14ac:dyDescent="0.3">
      <c r="A94" s="5" t="s">
        <v>662</v>
      </c>
      <c r="B94" s="20" t="s">
        <v>199</v>
      </c>
      <c r="C94" s="5" t="s">
        <v>710</v>
      </c>
      <c r="D94" s="35" t="s">
        <v>325</v>
      </c>
      <c r="E94" s="9">
        <v>2</v>
      </c>
      <c r="F94" s="5"/>
      <c r="G94" s="5"/>
      <c r="I94">
        <v>78</v>
      </c>
      <c r="J94" s="5"/>
    </row>
    <row r="95" spans="1:10" ht="15" customHeight="1" x14ac:dyDescent="0.3">
      <c r="A95" s="5" t="s">
        <v>662</v>
      </c>
      <c r="B95" s="20" t="s">
        <v>199</v>
      </c>
      <c r="C95" s="5" t="s">
        <v>332</v>
      </c>
      <c r="D95" s="5" t="s">
        <v>333</v>
      </c>
      <c r="E95" s="9">
        <v>3</v>
      </c>
      <c r="F95" s="5" t="s">
        <v>181</v>
      </c>
      <c r="G95" s="5"/>
      <c r="J95" s="5"/>
    </row>
    <row r="96" spans="1:10" ht="15" customHeight="1" x14ac:dyDescent="0.3">
      <c r="A96" s="5" t="s">
        <v>662</v>
      </c>
      <c r="B96" s="20" t="s">
        <v>199</v>
      </c>
      <c r="C96" s="5" t="s">
        <v>315</v>
      </c>
      <c r="D96" s="5" t="s">
        <v>316</v>
      </c>
      <c r="E96" s="9">
        <v>3</v>
      </c>
      <c r="F96" s="5" t="s">
        <v>12</v>
      </c>
      <c r="G96" s="5" t="str">
        <f>VLOOKUP('[2]Beban Mengajar'!F96,[2]Dosen!A:B,2)</f>
        <v>Alfiana Fitri, SA., MA</v>
      </c>
      <c r="J96" s="5"/>
    </row>
    <row r="97" spans="1:10" ht="15" customHeight="1" x14ac:dyDescent="0.3">
      <c r="A97" s="5" t="s">
        <v>662</v>
      </c>
      <c r="B97" s="20" t="s">
        <v>199</v>
      </c>
      <c r="C97" s="5" t="s">
        <v>317</v>
      </c>
      <c r="D97" s="5" t="s">
        <v>318</v>
      </c>
      <c r="E97" s="9">
        <v>3</v>
      </c>
      <c r="F97" s="5" t="s">
        <v>36</v>
      </c>
      <c r="G97" s="5" t="str">
        <f>VLOOKUP('[2]Beban Mengajar'!F97,[2]Dosen!A:B,2)</f>
        <v>Dr. Erlina Diamastuti, S.E., M.Si., Ak, CA</v>
      </c>
      <c r="J97" s="5"/>
    </row>
    <row r="98" spans="1:10" ht="15" customHeight="1" x14ac:dyDescent="0.3">
      <c r="A98" s="5" t="s">
        <v>662</v>
      </c>
      <c r="B98" s="20" t="s">
        <v>199</v>
      </c>
      <c r="C98" s="5" t="s">
        <v>711</v>
      </c>
      <c r="D98" s="5" t="s">
        <v>321</v>
      </c>
      <c r="E98" s="9">
        <v>2</v>
      </c>
      <c r="F98" s="5"/>
      <c r="G98" s="5"/>
      <c r="J98" s="5"/>
    </row>
    <row r="99" spans="1:10" ht="15" customHeight="1" x14ac:dyDescent="0.3">
      <c r="A99" s="5" t="s">
        <v>662</v>
      </c>
      <c r="B99" s="20" t="s">
        <v>197</v>
      </c>
      <c r="C99" s="5" t="s">
        <v>322</v>
      </c>
      <c r="D99" s="5" t="s">
        <v>323</v>
      </c>
      <c r="E99" s="9">
        <v>2</v>
      </c>
      <c r="F99" s="5"/>
      <c r="G99" s="5"/>
      <c r="I99">
        <v>78</v>
      </c>
      <c r="J99" s="5"/>
    </row>
    <row r="100" spans="1:10" ht="15" customHeight="1" x14ac:dyDescent="0.3">
      <c r="A100" s="5" t="s">
        <v>662</v>
      </c>
      <c r="B100" s="20" t="s">
        <v>197</v>
      </c>
      <c r="C100" s="5" t="s">
        <v>319</v>
      </c>
      <c r="D100" s="5" t="s">
        <v>320</v>
      </c>
      <c r="E100" s="9">
        <v>3</v>
      </c>
      <c r="F100" s="5" t="s">
        <v>36</v>
      </c>
      <c r="G100" s="5" t="str">
        <f>VLOOKUP('[2]Beban Mengajar'!F100,[2]Dosen!A:B,2)</f>
        <v>Dr. Erlina Diamastuti, S.E., M.Si., Ak, CA</v>
      </c>
      <c r="J100" s="5"/>
    </row>
    <row r="101" spans="1:10" ht="15" customHeight="1" x14ac:dyDescent="0.3">
      <c r="A101" s="5" t="s">
        <v>662</v>
      </c>
      <c r="B101" s="20" t="s">
        <v>197</v>
      </c>
      <c r="C101" s="5" t="s">
        <v>344</v>
      </c>
      <c r="D101" s="5" t="s">
        <v>345</v>
      </c>
      <c r="E101" s="9">
        <v>2</v>
      </c>
      <c r="F101" s="5" t="s">
        <v>60</v>
      </c>
      <c r="G101" s="5" t="str">
        <f>VLOOKUP('[2]Beban Mengajar'!F101,[2]Dosen!A:B,2)</f>
        <v>Kurniasari Novi Hardanti, SE., M.CA</v>
      </c>
      <c r="J101" s="5"/>
    </row>
    <row r="102" spans="1:10" ht="15" customHeight="1" x14ac:dyDescent="0.3">
      <c r="A102" s="5" t="s">
        <v>662</v>
      </c>
      <c r="B102" s="20" t="s">
        <v>197</v>
      </c>
      <c r="C102" s="5" t="s">
        <v>313</v>
      </c>
      <c r="D102" s="5" t="s">
        <v>314</v>
      </c>
      <c r="E102" s="9">
        <v>3</v>
      </c>
      <c r="F102" s="5" t="s">
        <v>12</v>
      </c>
      <c r="G102" s="5" t="str">
        <f>VLOOKUP('[2]Beban Mengajar'!F102,[2]Dosen!A:B,2)</f>
        <v>Alfiana Fitri, SA., MA</v>
      </c>
      <c r="J102" s="5"/>
    </row>
    <row r="103" spans="1:10" ht="15" customHeight="1" x14ac:dyDescent="0.3">
      <c r="A103" s="5" t="s">
        <v>662</v>
      </c>
      <c r="B103" s="20" t="s">
        <v>197</v>
      </c>
      <c r="C103" s="5" t="s">
        <v>342</v>
      </c>
      <c r="D103" s="5" t="s">
        <v>343</v>
      </c>
      <c r="E103" s="9">
        <v>3</v>
      </c>
      <c r="F103" s="5" t="s">
        <v>36</v>
      </c>
      <c r="G103" s="5" t="str">
        <f>VLOOKUP('[2]Beban Mengajar'!F103,[2]Dosen!A:B,2)</f>
        <v>Dr. Erlina Diamastuti, S.E., M.Si., Ak, CA</v>
      </c>
      <c r="J103" s="5"/>
    </row>
    <row r="104" spans="1:10" ht="15" customHeight="1" x14ac:dyDescent="0.3">
      <c r="A104" s="5" t="s">
        <v>662</v>
      </c>
      <c r="B104" s="20" t="s">
        <v>197</v>
      </c>
      <c r="C104" s="5" t="s">
        <v>339</v>
      </c>
      <c r="D104" s="5" t="s">
        <v>340</v>
      </c>
      <c r="E104" s="9">
        <v>3</v>
      </c>
      <c r="F104" s="5" t="s">
        <v>60</v>
      </c>
      <c r="G104" s="5" t="str">
        <f>VLOOKUP('[2]Beban Mengajar'!F104,[2]Dosen!A:B,2)</f>
        <v>Kurniasari Novi Hardanti, SE., M.CA</v>
      </c>
      <c r="J104" s="5"/>
    </row>
    <row r="105" spans="1:10" ht="15" customHeight="1" x14ac:dyDescent="0.3">
      <c r="A105" s="5" t="s">
        <v>662</v>
      </c>
      <c r="B105" s="20" t="s">
        <v>197</v>
      </c>
      <c r="C105" s="5" t="s">
        <v>350</v>
      </c>
      <c r="D105" s="5" t="s">
        <v>351</v>
      </c>
      <c r="E105" s="9">
        <v>3</v>
      </c>
      <c r="F105" s="5" t="s">
        <v>12</v>
      </c>
      <c r="G105" s="5" t="str">
        <f>VLOOKUP('[2]Beban Mengajar'!F105,[2]Dosen!A:B,2)</f>
        <v>Alfiana Fitri, SA., MA</v>
      </c>
      <c r="J105" s="5"/>
    </row>
    <row r="106" spans="1:10" ht="15" customHeight="1" x14ac:dyDescent="0.3">
      <c r="A106" s="5" t="s">
        <v>662</v>
      </c>
      <c r="B106" s="20" t="s">
        <v>646</v>
      </c>
      <c r="C106" s="5" t="s">
        <v>352</v>
      </c>
      <c r="D106" s="55" t="s">
        <v>868</v>
      </c>
      <c r="E106" s="9">
        <v>2</v>
      </c>
      <c r="F106" s="5"/>
      <c r="G106" s="5"/>
      <c r="I106">
        <v>53</v>
      </c>
      <c r="J106" s="5"/>
    </row>
    <row r="107" spans="1:10" ht="15" customHeight="1" x14ac:dyDescent="0.3">
      <c r="A107" s="5" t="s">
        <v>662</v>
      </c>
      <c r="B107" s="20" t="s">
        <v>646</v>
      </c>
      <c r="C107" s="5" t="s">
        <v>346</v>
      </c>
      <c r="D107" s="5" t="s">
        <v>347</v>
      </c>
      <c r="E107" s="9">
        <v>3</v>
      </c>
      <c r="F107" s="5" t="s">
        <v>109</v>
      </c>
      <c r="G107" s="5" t="str">
        <f>VLOOKUP('[2]Beban Mengajar'!F107,[2]Dosen!A:B,2)</f>
        <v>Muhammad Akbar, S.E., M.Acc., Ak.</v>
      </c>
      <c r="J107" s="5"/>
    </row>
    <row r="108" spans="1:10" ht="15" customHeight="1" x14ac:dyDescent="0.3">
      <c r="A108" s="5" t="s">
        <v>662</v>
      </c>
      <c r="B108" s="20" t="s">
        <v>646</v>
      </c>
      <c r="C108" s="56" t="s">
        <v>712</v>
      </c>
      <c r="D108" s="56" t="s">
        <v>713</v>
      </c>
      <c r="E108" s="9">
        <v>3</v>
      </c>
      <c r="F108" s="5" t="s">
        <v>36</v>
      </c>
      <c r="G108" s="5" t="str">
        <f>VLOOKUP('[2]Beban Mengajar'!F108,[2]Dosen!A:B,2)</f>
        <v>Dr. Erlina Diamastuti, S.E., M.Si., Ak, CA</v>
      </c>
      <c r="J108" s="5"/>
    </row>
    <row r="109" spans="1:10" ht="15" customHeight="1" x14ac:dyDescent="0.3">
      <c r="A109" s="5" t="s">
        <v>662</v>
      </c>
      <c r="B109" s="20" t="s">
        <v>646</v>
      </c>
      <c r="C109" s="56" t="s">
        <v>330</v>
      </c>
      <c r="D109" s="56" t="s">
        <v>331</v>
      </c>
      <c r="E109" s="9">
        <v>3</v>
      </c>
      <c r="F109" s="5" t="s">
        <v>160</v>
      </c>
      <c r="G109" s="5" t="str">
        <f>VLOOKUP('[2]Beban Mengajar'!F109,[2]Dosen!A:B,2)</f>
        <v>Sugeng Firdausi, S.E., Ak.,  M.M. MIFP.</v>
      </c>
      <c r="J109" s="5"/>
    </row>
    <row r="110" spans="1:10" ht="15" customHeight="1" x14ac:dyDescent="0.3">
      <c r="A110" s="5" t="s">
        <v>662</v>
      </c>
      <c r="B110" s="20" t="s">
        <v>646</v>
      </c>
      <c r="C110" s="56" t="s">
        <v>311</v>
      </c>
      <c r="D110" s="56" t="s">
        <v>312</v>
      </c>
      <c r="E110" s="9">
        <v>3</v>
      </c>
      <c r="F110" s="5" t="s">
        <v>49</v>
      </c>
      <c r="G110" s="5" t="str">
        <f>VLOOKUP('[2]Beban Mengajar'!F110,[2]Dosen!A:B,2)</f>
        <v>Husnunnida Maharani</v>
      </c>
      <c r="J110" s="5"/>
    </row>
    <row r="111" spans="1:10" ht="15" customHeight="1" x14ac:dyDescent="0.3">
      <c r="A111" s="5" t="s">
        <v>662</v>
      </c>
      <c r="B111" s="20" t="s">
        <v>202</v>
      </c>
      <c r="C111" s="5" t="s">
        <v>328</v>
      </c>
      <c r="D111" s="5" t="s">
        <v>329</v>
      </c>
      <c r="E111" s="9">
        <v>3</v>
      </c>
      <c r="F111" s="5"/>
      <c r="G111" s="5"/>
      <c r="J111" s="5"/>
    </row>
    <row r="112" spans="1:10" ht="15" customHeight="1" x14ac:dyDescent="0.3">
      <c r="A112" s="5" t="s">
        <v>662</v>
      </c>
      <c r="B112" s="20" t="s">
        <v>202</v>
      </c>
      <c r="C112" s="5" t="s">
        <v>326</v>
      </c>
      <c r="D112" s="5" t="s">
        <v>327</v>
      </c>
      <c r="E112" s="9">
        <v>3</v>
      </c>
      <c r="F112" s="5" t="s">
        <v>40</v>
      </c>
      <c r="G112" s="5"/>
      <c r="J112" s="5"/>
    </row>
    <row r="113" spans="1:10" ht="15.75" customHeight="1" x14ac:dyDescent="0.3">
      <c r="A113" s="5" t="s">
        <v>662</v>
      </c>
      <c r="B113" s="20" t="s">
        <v>202</v>
      </c>
      <c r="C113" s="5" t="s">
        <v>309</v>
      </c>
      <c r="D113" s="5" t="s">
        <v>310</v>
      </c>
      <c r="E113" s="9">
        <v>3</v>
      </c>
      <c r="F113" s="5" t="s">
        <v>49</v>
      </c>
      <c r="G113" s="5" t="str">
        <f>VLOOKUP('[2]Beban Mengajar'!F113,[2]Dosen!A:B,2)</f>
        <v>Husnunnida Maharani</v>
      </c>
      <c r="J113" s="5"/>
    </row>
    <row r="114" spans="1:10" ht="15" customHeight="1" x14ac:dyDescent="0.3">
      <c r="A114" s="5" t="s">
        <v>662</v>
      </c>
      <c r="B114" s="20" t="s">
        <v>202</v>
      </c>
      <c r="C114" s="5" t="s">
        <v>334</v>
      </c>
      <c r="D114" s="5" t="s">
        <v>335</v>
      </c>
      <c r="E114" s="9">
        <v>3</v>
      </c>
      <c r="F114" s="5" t="s">
        <v>18</v>
      </c>
      <c r="G114" s="5"/>
      <c r="J114" s="5"/>
    </row>
    <row r="115" spans="1:10" ht="15" customHeight="1" x14ac:dyDescent="0.3">
      <c r="A115" s="5" t="s">
        <v>662</v>
      </c>
      <c r="B115" s="20" t="s">
        <v>202</v>
      </c>
      <c r="C115" s="5" t="s">
        <v>348</v>
      </c>
      <c r="D115" s="5" t="s">
        <v>349</v>
      </c>
      <c r="E115" s="9">
        <v>3</v>
      </c>
      <c r="F115" s="5" t="s">
        <v>117</v>
      </c>
      <c r="G115" s="5"/>
      <c r="J115" s="5"/>
    </row>
    <row r="116" spans="1:10" ht="15" customHeight="1" x14ac:dyDescent="0.3">
      <c r="A116" s="5" t="s">
        <v>662</v>
      </c>
      <c r="B116" s="20" t="s">
        <v>202</v>
      </c>
      <c r="C116" s="5" t="s">
        <v>337</v>
      </c>
      <c r="D116" s="5" t="s">
        <v>338</v>
      </c>
      <c r="E116" s="9">
        <v>3</v>
      </c>
      <c r="F116" s="5" t="s">
        <v>109</v>
      </c>
      <c r="G116" s="5"/>
      <c r="J116" s="5"/>
    </row>
    <row r="117" spans="1:10" ht="15" customHeight="1" x14ac:dyDescent="0.3">
      <c r="A117" s="5" t="s">
        <v>662</v>
      </c>
      <c r="B117" s="20" t="s">
        <v>200</v>
      </c>
      <c r="C117" s="5" t="s">
        <v>308</v>
      </c>
      <c r="D117" s="35" t="s">
        <v>697</v>
      </c>
      <c r="E117" s="9">
        <v>2</v>
      </c>
      <c r="F117" s="5"/>
      <c r="G117" s="5"/>
      <c r="H117" t="s">
        <v>74</v>
      </c>
      <c r="I117">
        <v>0</v>
      </c>
      <c r="J117" s="5"/>
    </row>
    <row r="118" spans="1:10" ht="15" customHeight="1" x14ac:dyDescent="0.3">
      <c r="A118" s="5" t="s">
        <v>662</v>
      </c>
      <c r="B118" s="20" t="s">
        <v>200</v>
      </c>
      <c r="C118" s="5" t="s">
        <v>354</v>
      </c>
      <c r="D118" s="5" t="s">
        <v>355</v>
      </c>
      <c r="E118" s="9">
        <v>3</v>
      </c>
      <c r="F118" s="5" t="s">
        <v>160</v>
      </c>
      <c r="G118" s="5" t="str">
        <f>VLOOKUP('[2]Beban Mengajar'!F118,[2]Dosen!A:B,2)</f>
        <v>Sugeng Firdausi, S.E., Ak.,  M.M. MIFP.</v>
      </c>
      <c r="J118" s="5"/>
    </row>
    <row r="119" spans="1:10" ht="15" customHeight="1" x14ac:dyDescent="0.3">
      <c r="A119" s="5" t="s">
        <v>662</v>
      </c>
      <c r="B119" s="20" t="s">
        <v>200</v>
      </c>
      <c r="C119" s="5" t="s">
        <v>710</v>
      </c>
      <c r="D119" s="35" t="s">
        <v>325</v>
      </c>
      <c r="E119" s="9">
        <v>2</v>
      </c>
      <c r="F119" s="5"/>
      <c r="G119" s="5"/>
      <c r="I119">
        <v>0</v>
      </c>
      <c r="J119" s="5"/>
    </row>
    <row r="120" spans="1:10" ht="15.75" customHeight="1" x14ac:dyDescent="0.3">
      <c r="A120" s="5" t="s">
        <v>662</v>
      </c>
      <c r="B120" s="20" t="s">
        <v>200</v>
      </c>
      <c r="C120" s="5" t="s">
        <v>332</v>
      </c>
      <c r="D120" s="5" t="s">
        <v>333</v>
      </c>
      <c r="E120" s="9">
        <v>3</v>
      </c>
      <c r="F120" s="5" t="s">
        <v>16</v>
      </c>
      <c r="G120" s="5"/>
      <c r="J120" s="5"/>
    </row>
    <row r="121" spans="1:10" ht="15" customHeight="1" x14ac:dyDescent="0.3">
      <c r="A121" s="5" t="s">
        <v>662</v>
      </c>
      <c r="B121" s="20" t="s">
        <v>200</v>
      </c>
      <c r="C121" s="5" t="s">
        <v>315</v>
      </c>
      <c r="D121" s="5" t="s">
        <v>316</v>
      </c>
      <c r="E121" s="9">
        <v>3</v>
      </c>
      <c r="F121" s="5" t="s">
        <v>12</v>
      </c>
      <c r="G121" s="5" t="str">
        <f>VLOOKUP('[2]Beban Mengajar'!F121,[2]Dosen!A:B,2)</f>
        <v>Alfiana Fitri, SA., MA</v>
      </c>
      <c r="J121" s="5"/>
    </row>
    <row r="122" spans="1:10" ht="15" customHeight="1" x14ac:dyDescent="0.3">
      <c r="A122" s="5" t="s">
        <v>662</v>
      </c>
      <c r="B122" s="20" t="s">
        <v>200</v>
      </c>
      <c r="C122" s="5" t="s">
        <v>317</v>
      </c>
      <c r="D122" s="5" t="s">
        <v>318</v>
      </c>
      <c r="E122" s="9">
        <v>3</v>
      </c>
      <c r="F122" s="5" t="s">
        <v>109</v>
      </c>
      <c r="G122" s="5" t="str">
        <f>VLOOKUP('[2]Beban Mengajar'!F122,[2]Dosen!A:B,2)</f>
        <v>Muhammad Akbar, S.E., M.Acc., Ak.</v>
      </c>
      <c r="J122" s="5"/>
    </row>
    <row r="123" spans="1:10" ht="15" customHeight="1" x14ac:dyDescent="0.3">
      <c r="A123" s="5" t="s">
        <v>662</v>
      </c>
      <c r="B123" s="20" t="s">
        <v>200</v>
      </c>
      <c r="C123" s="5" t="s">
        <v>711</v>
      </c>
      <c r="D123" s="5" t="s">
        <v>321</v>
      </c>
      <c r="E123" s="9">
        <v>2</v>
      </c>
      <c r="F123" s="5"/>
      <c r="G123" s="5"/>
      <c r="J123" s="5"/>
    </row>
    <row r="124" spans="1:10" ht="15" customHeight="1" x14ac:dyDescent="0.3">
      <c r="A124" s="5" t="s">
        <v>662</v>
      </c>
      <c r="B124" s="20" t="s">
        <v>198</v>
      </c>
      <c r="C124" s="5" t="s">
        <v>322</v>
      </c>
      <c r="D124" s="5" t="s">
        <v>323</v>
      </c>
      <c r="E124" s="9">
        <v>2</v>
      </c>
      <c r="F124" s="5"/>
      <c r="G124" s="5"/>
      <c r="I124">
        <v>0</v>
      </c>
      <c r="J124" s="5"/>
    </row>
    <row r="125" spans="1:10" ht="15" customHeight="1" x14ac:dyDescent="0.3">
      <c r="A125" s="5" t="s">
        <v>662</v>
      </c>
      <c r="B125" s="20" t="s">
        <v>198</v>
      </c>
      <c r="C125" s="5" t="s">
        <v>319</v>
      </c>
      <c r="D125" s="5" t="s">
        <v>320</v>
      </c>
      <c r="E125" s="9">
        <v>3</v>
      </c>
      <c r="F125" s="5" t="s">
        <v>690</v>
      </c>
      <c r="G125" s="5" t="str">
        <f>VLOOKUP('[2]Beban Mengajar'!F125,[2]Dosen!A:B,2)</f>
        <v>Fitri Ramadhan</v>
      </c>
      <c r="J125" s="5"/>
    </row>
    <row r="126" spans="1:10" ht="15.75" customHeight="1" x14ac:dyDescent="0.3">
      <c r="A126" s="5" t="s">
        <v>662</v>
      </c>
      <c r="B126" s="20" t="s">
        <v>198</v>
      </c>
      <c r="C126" s="5" t="s">
        <v>344</v>
      </c>
      <c r="D126" s="5" t="s">
        <v>345</v>
      </c>
      <c r="E126" s="9">
        <v>2</v>
      </c>
      <c r="F126" s="5" t="s">
        <v>60</v>
      </c>
      <c r="G126" s="5" t="str">
        <f>VLOOKUP('[2]Beban Mengajar'!F126,[2]Dosen!A:B,2)</f>
        <v>Kurniasari Novi Hardanti, SE., M.CA</v>
      </c>
      <c r="J126" s="5"/>
    </row>
    <row r="127" spans="1:10" ht="15" customHeight="1" x14ac:dyDescent="0.3">
      <c r="A127" s="5" t="s">
        <v>662</v>
      </c>
      <c r="B127" s="20" t="s">
        <v>198</v>
      </c>
      <c r="C127" s="5" t="s">
        <v>313</v>
      </c>
      <c r="D127" s="5" t="s">
        <v>314</v>
      </c>
      <c r="E127" s="9">
        <v>3</v>
      </c>
      <c r="F127" s="5" t="s">
        <v>12</v>
      </c>
      <c r="G127" s="5" t="str">
        <f>VLOOKUP('[2]Beban Mengajar'!F127,[2]Dosen!A:B,2)</f>
        <v>Alfiana Fitri, SA., MA</v>
      </c>
      <c r="J127" s="5"/>
    </row>
    <row r="128" spans="1:10" ht="15" customHeight="1" x14ac:dyDescent="0.3">
      <c r="A128" s="5" t="s">
        <v>662</v>
      </c>
      <c r="B128" s="20" t="s">
        <v>198</v>
      </c>
      <c r="C128" s="5" t="s">
        <v>342</v>
      </c>
      <c r="D128" s="5" t="s">
        <v>343</v>
      </c>
      <c r="E128" s="9">
        <v>3</v>
      </c>
      <c r="F128" s="5" t="s">
        <v>49</v>
      </c>
      <c r="G128" s="5" t="str">
        <f>VLOOKUP('[2]Beban Mengajar'!F128,[2]Dosen!A:B,2)</f>
        <v>Husnunnida Maharani</v>
      </c>
      <c r="J128" s="5"/>
    </row>
    <row r="129" spans="1:10" ht="15" customHeight="1" x14ac:dyDescent="0.3">
      <c r="A129" s="5" t="s">
        <v>662</v>
      </c>
      <c r="B129" s="20" t="s">
        <v>198</v>
      </c>
      <c r="C129" s="5" t="s">
        <v>339</v>
      </c>
      <c r="D129" s="5" t="s">
        <v>340</v>
      </c>
      <c r="E129" s="9">
        <v>3</v>
      </c>
      <c r="F129" s="5" t="s">
        <v>60</v>
      </c>
      <c r="G129" s="5" t="str">
        <f>VLOOKUP('[2]Beban Mengajar'!F129,[2]Dosen!A:B,2)</f>
        <v>Kurniasari Novi Hardanti, SE., M.CA</v>
      </c>
      <c r="J129" s="5"/>
    </row>
    <row r="130" spans="1:10" ht="15" customHeight="1" x14ac:dyDescent="0.3">
      <c r="A130" s="5" t="s">
        <v>662</v>
      </c>
      <c r="B130" s="20" t="s">
        <v>198</v>
      </c>
      <c r="C130" s="5" t="s">
        <v>350</v>
      </c>
      <c r="D130" s="5" t="s">
        <v>351</v>
      </c>
      <c r="E130" s="9">
        <v>3</v>
      </c>
      <c r="F130" s="5" t="s">
        <v>690</v>
      </c>
      <c r="G130" s="5" t="str">
        <f>VLOOKUP('[2]Beban Mengajar'!F130,[2]Dosen!A:B,2)</f>
        <v>Fitri Ramadhan</v>
      </c>
      <c r="J130" s="5"/>
    </row>
    <row r="131" spans="1:10" ht="15" customHeight="1" x14ac:dyDescent="0.3">
      <c r="A131" s="5" t="s">
        <v>662</v>
      </c>
      <c r="B131" s="20" t="s">
        <v>647</v>
      </c>
      <c r="C131" s="5" t="s">
        <v>352</v>
      </c>
      <c r="D131" s="55" t="s">
        <v>868</v>
      </c>
      <c r="E131" s="9">
        <v>2</v>
      </c>
      <c r="F131" s="5"/>
      <c r="G131" s="5"/>
      <c r="I131">
        <v>0</v>
      </c>
      <c r="J131" s="5"/>
    </row>
    <row r="132" spans="1:10" ht="15.75" customHeight="1" x14ac:dyDescent="0.3">
      <c r="A132" s="5" t="s">
        <v>662</v>
      </c>
      <c r="B132" s="20" t="s">
        <v>647</v>
      </c>
      <c r="C132" s="5" t="s">
        <v>346</v>
      </c>
      <c r="D132" s="5" t="s">
        <v>347</v>
      </c>
      <c r="E132" s="9">
        <v>3</v>
      </c>
      <c r="F132" s="5"/>
      <c r="G132" s="5"/>
      <c r="J132" s="5"/>
    </row>
    <row r="133" spans="1:10" ht="18" customHeight="1" x14ac:dyDescent="0.3">
      <c r="A133" s="5" t="s">
        <v>664</v>
      </c>
      <c r="B133" s="20" t="s">
        <v>207</v>
      </c>
      <c r="C133" s="2" t="s">
        <v>328</v>
      </c>
      <c r="D133" s="5" t="s">
        <v>329</v>
      </c>
      <c r="E133" s="2">
        <v>3</v>
      </c>
      <c r="F133" s="5" t="s">
        <v>181</v>
      </c>
      <c r="G133" s="5" t="str">
        <f>VLOOKUP('[2]Beban Mengajar'!F133,[2]Dosen!A:B,2)</f>
        <v>Wahyu Agung Handono, S.E., M.M.</v>
      </c>
      <c r="J133" s="5"/>
    </row>
    <row r="134" spans="1:10" ht="15" customHeight="1" x14ac:dyDescent="0.3">
      <c r="A134" s="5" t="s">
        <v>664</v>
      </c>
      <c r="B134" s="20" t="s">
        <v>207</v>
      </c>
      <c r="C134" s="2" t="s">
        <v>308</v>
      </c>
      <c r="D134" s="35" t="s">
        <v>697</v>
      </c>
      <c r="E134" s="2">
        <v>2</v>
      </c>
      <c r="F134" s="5" t="s">
        <v>119</v>
      </c>
      <c r="G134" s="5" t="str">
        <f>VLOOKUP('[2]Beban Mengajar'!F134,[2]Dosen!A:B,2)</f>
        <v>Drs. Muhammad Asyhad, M.Pd.I.</v>
      </c>
      <c r="I134">
        <v>40</v>
      </c>
      <c r="J134" s="5"/>
    </row>
    <row r="135" spans="1:10" ht="15" customHeight="1" x14ac:dyDescent="0.3">
      <c r="A135" s="5" t="s">
        <v>664</v>
      </c>
      <c r="B135" s="20" t="s">
        <v>207</v>
      </c>
      <c r="C135" s="2" t="s">
        <v>322</v>
      </c>
      <c r="D135" s="5" t="s">
        <v>323</v>
      </c>
      <c r="E135" s="2">
        <v>2</v>
      </c>
      <c r="F135" s="5"/>
      <c r="G135" s="5"/>
      <c r="H135" s="54" t="s">
        <v>668</v>
      </c>
      <c r="I135">
        <v>40</v>
      </c>
      <c r="J135" s="5"/>
    </row>
    <row r="136" spans="1:10" ht="15" customHeight="1" x14ac:dyDescent="0.3">
      <c r="A136" s="5" t="s">
        <v>664</v>
      </c>
      <c r="B136" s="20" t="s">
        <v>207</v>
      </c>
      <c r="C136" s="2" t="s">
        <v>397</v>
      </c>
      <c r="D136" s="5" t="s">
        <v>398</v>
      </c>
      <c r="E136" s="2">
        <v>2</v>
      </c>
      <c r="F136" s="5"/>
      <c r="G136" s="5"/>
      <c r="H136" s="54" t="s">
        <v>869</v>
      </c>
      <c r="J136" s="5"/>
    </row>
    <row r="137" spans="1:10" ht="15" customHeight="1" x14ac:dyDescent="0.3">
      <c r="A137" s="5" t="s">
        <v>664</v>
      </c>
      <c r="B137" s="20" t="s">
        <v>207</v>
      </c>
      <c r="C137" s="2" t="s">
        <v>410</v>
      </c>
      <c r="D137" s="5" t="s">
        <v>411</v>
      </c>
      <c r="E137" s="2">
        <v>3</v>
      </c>
      <c r="F137" s="5" t="s">
        <v>24</v>
      </c>
      <c r="G137" s="5" t="str">
        <f>VLOOKUP('[2]Beban Mengajar'!F137,[2]Dosen!A:B,2)</f>
        <v>Bambang Tutuko, S.E., M.M., CFP</v>
      </c>
      <c r="J137" s="5"/>
    </row>
    <row r="138" spans="1:10" ht="15" customHeight="1" x14ac:dyDescent="0.3">
      <c r="A138" s="5" t="s">
        <v>664</v>
      </c>
      <c r="B138" s="20" t="s">
        <v>207</v>
      </c>
      <c r="C138" s="2" t="s">
        <v>326</v>
      </c>
      <c r="D138" s="5" t="s">
        <v>403</v>
      </c>
      <c r="E138" s="2">
        <v>3</v>
      </c>
      <c r="F138" s="5" t="s">
        <v>40</v>
      </c>
      <c r="G138" s="5" t="str">
        <f>VLOOKUP('[2]Beban Mengajar'!F138,[2]Dosen!A:B,2)</f>
        <v>Elsi Mersilia Hanesti, S.EI., M.SE</v>
      </c>
      <c r="J138" s="5"/>
    </row>
    <row r="139" spans="1:10" ht="15" customHeight="1" x14ac:dyDescent="0.3">
      <c r="A139" s="5" t="s">
        <v>664</v>
      </c>
      <c r="B139" s="20" t="s">
        <v>207</v>
      </c>
      <c r="C139" s="2" t="s">
        <v>401</v>
      </c>
      <c r="D139" s="5" t="s">
        <v>402</v>
      </c>
      <c r="E139" s="2">
        <v>3</v>
      </c>
      <c r="F139" s="5" t="s">
        <v>14</v>
      </c>
      <c r="G139" s="5" t="str">
        <f>VLOOKUP('[2]Beban Mengajar'!F139,[2]Dosen!A:B,2)</f>
        <v>Ahmad Hudaifah, S.E., M.Ec.</v>
      </c>
      <c r="J139" s="5"/>
    </row>
    <row r="140" spans="1:10" ht="15.75" customHeight="1" x14ac:dyDescent="0.3">
      <c r="A140" s="5" t="s">
        <v>664</v>
      </c>
      <c r="B140" s="20" t="s">
        <v>207</v>
      </c>
      <c r="C140" s="2" t="s">
        <v>394</v>
      </c>
      <c r="D140" s="5" t="s">
        <v>395</v>
      </c>
      <c r="E140" s="2">
        <v>3</v>
      </c>
      <c r="F140" s="5" t="s">
        <v>8</v>
      </c>
      <c r="G140" s="5" t="str">
        <f>VLOOKUP('[2]Beban Mengajar'!F140,[2]Dosen!A:B,2)</f>
        <v>Ahmad Dahlan Malik, B.A.(Hons). M.Ec.</v>
      </c>
      <c r="J140" s="5"/>
    </row>
    <row r="141" spans="1:10" ht="15" customHeight="1" x14ac:dyDescent="0.3">
      <c r="A141" s="5" t="s">
        <v>664</v>
      </c>
      <c r="B141" s="51" t="s">
        <v>206</v>
      </c>
      <c r="C141" s="57" t="s">
        <v>714</v>
      </c>
      <c r="D141" s="5" t="s">
        <v>414</v>
      </c>
      <c r="E141" s="2">
        <v>3</v>
      </c>
      <c r="F141" s="5" t="s">
        <v>117</v>
      </c>
      <c r="G141" s="5" t="str">
        <f>VLOOKUP('[2]Beban Mengajar'!F141,[2]Dosen!A:B,2)</f>
        <v>Mia Fathia, S.Si., M.Sc.Fin</v>
      </c>
      <c r="J141" s="5"/>
    </row>
    <row r="142" spans="1:10" ht="15" customHeight="1" x14ac:dyDescent="0.3">
      <c r="A142" s="5" t="s">
        <v>664</v>
      </c>
      <c r="B142" s="51" t="s">
        <v>206</v>
      </c>
      <c r="C142" s="57" t="s">
        <v>354</v>
      </c>
      <c r="D142" s="5" t="s">
        <v>355</v>
      </c>
      <c r="E142" s="2">
        <v>3</v>
      </c>
      <c r="F142" s="5" t="s">
        <v>690</v>
      </c>
      <c r="G142" s="5" t="str">
        <f>VLOOKUP('[2]Beban Mengajar'!F142,[2]Dosen!A:B,2)</f>
        <v>Fitri Ramadhan</v>
      </c>
      <c r="J142" s="5"/>
    </row>
    <row r="143" spans="1:10" ht="15" customHeight="1" x14ac:dyDescent="0.3">
      <c r="A143" s="5" t="s">
        <v>664</v>
      </c>
      <c r="B143" s="51" t="s">
        <v>206</v>
      </c>
      <c r="C143" s="57" t="s">
        <v>715</v>
      </c>
      <c r="D143" s="5" t="s">
        <v>333</v>
      </c>
      <c r="E143" s="2">
        <v>3</v>
      </c>
      <c r="F143" s="5" t="s">
        <v>40</v>
      </c>
      <c r="G143" s="5" t="str">
        <f>VLOOKUP('[2]Beban Mengajar'!F143,[2]Dosen!A:B,2)</f>
        <v>Elsi Mersilia Hanesti, S.EI., M.SE</v>
      </c>
      <c r="J143" s="5"/>
    </row>
    <row r="144" spans="1:10" ht="15" customHeight="1" x14ac:dyDescent="0.3">
      <c r="A144" s="5" t="s">
        <v>664</v>
      </c>
      <c r="B144" s="51" t="s">
        <v>206</v>
      </c>
      <c r="C144" s="2" t="s">
        <v>716</v>
      </c>
      <c r="D144" s="5" t="s">
        <v>717</v>
      </c>
      <c r="E144" s="2">
        <v>3</v>
      </c>
      <c r="F144" s="5" t="s">
        <v>119</v>
      </c>
      <c r="G144" s="5" t="str">
        <f>VLOOKUP('[2]Beban Mengajar'!F144,[2]Dosen!A:B,2)</f>
        <v>Drs. Muhammad Asyhad, M.Pd.I.</v>
      </c>
      <c r="J144" s="5"/>
    </row>
    <row r="145" spans="1:10" ht="15" customHeight="1" x14ac:dyDescent="0.3">
      <c r="A145" s="5" t="s">
        <v>664</v>
      </c>
      <c r="B145" s="51" t="s">
        <v>206</v>
      </c>
      <c r="C145" s="2" t="s">
        <v>718</v>
      </c>
      <c r="D145" s="5" t="s">
        <v>412</v>
      </c>
      <c r="E145" s="2">
        <v>3</v>
      </c>
      <c r="F145" s="5" t="s">
        <v>24</v>
      </c>
      <c r="G145" s="5" t="str">
        <f>VLOOKUP('[2]Beban Mengajar'!F145,[2]Dosen!A:B,2)</f>
        <v>Bambang Tutuko, S.E., M.M., CFP</v>
      </c>
      <c r="J145" s="5"/>
    </row>
    <row r="146" spans="1:10" ht="15" customHeight="1" x14ac:dyDescent="0.3">
      <c r="A146" s="5" t="s">
        <v>664</v>
      </c>
      <c r="B146" s="51" t="s">
        <v>206</v>
      </c>
      <c r="C146" s="2" t="s">
        <v>719</v>
      </c>
      <c r="D146" s="5" t="s">
        <v>396</v>
      </c>
      <c r="E146" s="2">
        <v>3</v>
      </c>
      <c r="F146" s="5" t="s">
        <v>8</v>
      </c>
      <c r="G146" s="5" t="str">
        <f>VLOOKUP('[2]Beban Mengajar'!F146,[2]Dosen!A:B,2)</f>
        <v>Ahmad Dahlan Malik, B.A.(Hons). M.Ec.</v>
      </c>
      <c r="J146" s="5"/>
    </row>
    <row r="147" spans="1:10" ht="15.75" customHeight="1" x14ac:dyDescent="0.3">
      <c r="A147" s="5" t="s">
        <v>664</v>
      </c>
      <c r="B147" s="51" t="s">
        <v>206</v>
      </c>
      <c r="C147" s="2" t="s">
        <v>720</v>
      </c>
      <c r="D147" s="5" t="s">
        <v>415</v>
      </c>
      <c r="E147" s="2">
        <v>3</v>
      </c>
      <c r="F147" s="5"/>
      <c r="G147" s="5"/>
      <c r="H147" s="54" t="s">
        <v>869</v>
      </c>
      <c r="J147" s="5"/>
    </row>
    <row r="148" spans="1:10" ht="15" customHeight="1" x14ac:dyDescent="0.3">
      <c r="A148" s="5" t="s">
        <v>664</v>
      </c>
      <c r="B148" s="51" t="s">
        <v>665</v>
      </c>
      <c r="C148" s="57" t="s">
        <v>721</v>
      </c>
      <c r="D148" s="5" t="s">
        <v>722</v>
      </c>
      <c r="E148" s="2">
        <v>3</v>
      </c>
      <c r="F148" s="5" t="s">
        <v>119</v>
      </c>
      <c r="G148" s="5" t="str">
        <f>VLOOKUP('[2]Beban Mengajar'!F148,[2]Dosen!A:B,2)</f>
        <v>Drs. Muhammad Asyhad, M.Pd.I.</v>
      </c>
      <c r="H148" t="s">
        <v>870</v>
      </c>
      <c r="J148" s="5"/>
    </row>
    <row r="149" spans="1:10" ht="15" customHeight="1" x14ac:dyDescent="0.3">
      <c r="A149" s="5" t="s">
        <v>664</v>
      </c>
      <c r="B149" s="51" t="s">
        <v>208</v>
      </c>
      <c r="C149" s="2" t="s">
        <v>723</v>
      </c>
      <c r="D149" s="5" t="s">
        <v>400</v>
      </c>
      <c r="E149" s="2">
        <v>3</v>
      </c>
      <c r="F149" s="5" t="s">
        <v>14</v>
      </c>
      <c r="G149" s="5" t="str">
        <f>VLOOKUP('[2]Beban Mengajar'!F149,[2]Dosen!A:B,2)</f>
        <v>Ahmad Hudaifah, S.E., M.Ec.</v>
      </c>
      <c r="J149" s="5"/>
    </row>
    <row r="150" spans="1:10" ht="15" customHeight="1" x14ac:dyDescent="0.3">
      <c r="A150" s="5" t="s">
        <v>664</v>
      </c>
      <c r="B150" s="51" t="s">
        <v>208</v>
      </c>
      <c r="C150" s="2" t="s">
        <v>724</v>
      </c>
      <c r="D150" s="5" t="s">
        <v>725</v>
      </c>
      <c r="E150" s="2">
        <v>3</v>
      </c>
      <c r="F150" s="5" t="s">
        <v>181</v>
      </c>
      <c r="G150" s="5" t="str">
        <f>VLOOKUP('[2]Beban Mengajar'!F150,[2]Dosen!A:B,2)</f>
        <v>Wahyu Agung Handono, S.E., M.M.</v>
      </c>
      <c r="J150" s="5"/>
    </row>
    <row r="151" spans="1:10" ht="15" customHeight="1" x14ac:dyDescent="0.3">
      <c r="A151" s="5" t="s">
        <v>664</v>
      </c>
      <c r="B151" s="51" t="s">
        <v>665</v>
      </c>
      <c r="C151" s="2" t="s">
        <v>726</v>
      </c>
      <c r="D151" s="5" t="s">
        <v>399</v>
      </c>
      <c r="E151" s="2">
        <v>3</v>
      </c>
      <c r="F151" s="5" t="s">
        <v>28</v>
      </c>
      <c r="G151" s="5" t="str">
        <f>VLOOKUP('[2]Beban Mengajar'!F151,[2]Dosen!A:B,2)</f>
        <v>Dr. Ir. Chabib Bahari, S.E., M.M.</v>
      </c>
      <c r="H151" t="s">
        <v>870</v>
      </c>
      <c r="J151" s="5"/>
    </row>
    <row r="152" spans="1:10" ht="15" customHeight="1" x14ac:dyDescent="0.3">
      <c r="A152" s="5" t="s">
        <v>664</v>
      </c>
      <c r="B152" s="51" t="s">
        <v>665</v>
      </c>
      <c r="C152" s="2" t="s">
        <v>727</v>
      </c>
      <c r="D152" s="58" t="s">
        <v>728</v>
      </c>
      <c r="E152" s="2">
        <v>3</v>
      </c>
      <c r="F152" s="5" t="s">
        <v>24</v>
      </c>
      <c r="G152" s="5" t="str">
        <f>VLOOKUP('[2]Beban Mengajar'!F152,[2]Dosen!A:B,2)</f>
        <v>Bambang Tutuko, S.E., M.M., CFP</v>
      </c>
      <c r="H152" t="s">
        <v>870</v>
      </c>
      <c r="J152" s="5"/>
    </row>
    <row r="153" spans="1:10" ht="15.75" customHeight="1" x14ac:dyDescent="0.3">
      <c r="A153" s="5" t="s">
        <v>664</v>
      </c>
      <c r="B153" s="51" t="s">
        <v>665</v>
      </c>
      <c r="C153" s="2" t="s">
        <v>729</v>
      </c>
      <c r="D153" s="5" t="s">
        <v>407</v>
      </c>
      <c r="E153" s="2">
        <v>3</v>
      </c>
      <c r="F153" s="5" t="s">
        <v>871</v>
      </c>
      <c r="G153" s="5" t="str">
        <f>VLOOKUP('[2]Beban Mengajar'!F153,[2]Dosen!A:B,2)</f>
        <v>Johan Samudra</v>
      </c>
      <c r="H153" t="s">
        <v>870</v>
      </c>
      <c r="J153" s="5"/>
    </row>
    <row r="154" spans="1:10" ht="15" customHeight="1" x14ac:dyDescent="0.3">
      <c r="A154" s="5" t="s">
        <v>664</v>
      </c>
      <c r="B154" s="51" t="s">
        <v>208</v>
      </c>
      <c r="C154" s="2" t="s">
        <v>730</v>
      </c>
      <c r="D154" s="5" t="s">
        <v>731</v>
      </c>
      <c r="E154" s="2">
        <v>3</v>
      </c>
      <c r="F154" s="5" t="s">
        <v>40</v>
      </c>
      <c r="G154" s="5" t="str">
        <f>VLOOKUP('[2]Beban Mengajar'!F154,[2]Dosen!A:B,2)</f>
        <v>Elsi Mersilia Hanesti, S.EI., M.SE</v>
      </c>
      <c r="J154" s="5"/>
    </row>
    <row r="155" spans="1:10" ht="15" customHeight="1" x14ac:dyDescent="0.3">
      <c r="A155" s="5" t="s">
        <v>664</v>
      </c>
      <c r="B155" s="51" t="s">
        <v>649</v>
      </c>
      <c r="C155" s="2" t="s">
        <v>405</v>
      </c>
      <c r="D155" s="5" t="s">
        <v>406</v>
      </c>
      <c r="E155" s="2">
        <v>3</v>
      </c>
      <c r="F155" s="5"/>
      <c r="G155" s="5"/>
      <c r="H155" s="54" t="s">
        <v>872</v>
      </c>
      <c r="J155" s="5"/>
    </row>
    <row r="156" spans="1:10" ht="15" customHeight="1" x14ac:dyDescent="0.3">
      <c r="A156" s="5" t="s">
        <v>664</v>
      </c>
      <c r="B156" s="51" t="s">
        <v>649</v>
      </c>
      <c r="C156" s="2" t="s">
        <v>416</v>
      </c>
      <c r="D156" s="5" t="s">
        <v>417</v>
      </c>
      <c r="E156" s="2">
        <v>2</v>
      </c>
      <c r="F156" s="5"/>
      <c r="G156" s="5"/>
      <c r="H156" s="54" t="s">
        <v>668</v>
      </c>
      <c r="J156" s="5"/>
    </row>
    <row r="157" spans="1:10" ht="15" customHeight="1" x14ac:dyDescent="0.3">
      <c r="A157" s="5" t="s">
        <v>664</v>
      </c>
      <c r="B157" s="51" t="s">
        <v>649</v>
      </c>
      <c r="C157" s="5" t="s">
        <v>352</v>
      </c>
      <c r="D157" s="55" t="s">
        <v>868</v>
      </c>
      <c r="E157" s="2">
        <v>2</v>
      </c>
      <c r="F157" s="5"/>
      <c r="G157" s="5"/>
      <c r="H157" s="54" t="s">
        <v>668</v>
      </c>
      <c r="I157">
        <v>41</v>
      </c>
      <c r="J157" s="5"/>
    </row>
    <row r="158" spans="1:10" ht="15" customHeight="1" x14ac:dyDescent="0.3">
      <c r="A158" s="5" t="s">
        <v>664</v>
      </c>
      <c r="B158" s="51" t="s">
        <v>649</v>
      </c>
      <c r="C158" s="2" t="s">
        <v>404</v>
      </c>
      <c r="D158" s="5" t="s">
        <v>502</v>
      </c>
      <c r="E158" s="2">
        <v>3</v>
      </c>
      <c r="F158" s="5"/>
      <c r="G158" s="5"/>
      <c r="H158" s="54" t="s">
        <v>872</v>
      </c>
      <c r="J158" s="5"/>
    </row>
    <row r="159" spans="1:10" ht="15.75" customHeight="1" x14ac:dyDescent="0.3">
      <c r="A159" s="5" t="s">
        <v>664</v>
      </c>
      <c r="B159" s="51" t="s">
        <v>649</v>
      </c>
      <c r="C159" s="2" t="s">
        <v>732</v>
      </c>
      <c r="D159" s="5" t="s">
        <v>413</v>
      </c>
      <c r="E159" s="2">
        <v>3</v>
      </c>
      <c r="F159" s="5"/>
      <c r="G159" s="5"/>
      <c r="H159" s="54" t="s">
        <v>872</v>
      </c>
      <c r="J159" s="5"/>
    </row>
    <row r="160" spans="1:10" x14ac:dyDescent="0.3">
      <c r="A160" s="5" t="s">
        <v>664</v>
      </c>
      <c r="B160" s="51" t="s">
        <v>209</v>
      </c>
      <c r="C160" s="2" t="s">
        <v>723</v>
      </c>
      <c r="D160" s="5" t="s">
        <v>400</v>
      </c>
      <c r="E160" s="2">
        <v>3</v>
      </c>
      <c r="F160" s="5" t="s">
        <v>119</v>
      </c>
      <c r="G160" s="5" t="str">
        <f>VLOOKUP('[2]Beban Mengajar'!F160,[2]Dosen!A:B,2)</f>
        <v>Drs. Muhammad Asyhad, M.Pd.I.</v>
      </c>
      <c r="J160" s="5"/>
    </row>
    <row r="161" spans="1:10" x14ac:dyDescent="0.3">
      <c r="A161" s="5" t="s">
        <v>664</v>
      </c>
      <c r="B161" s="51" t="s">
        <v>209</v>
      </c>
      <c r="C161" s="2" t="s">
        <v>724</v>
      </c>
      <c r="D161" s="5" t="s">
        <v>725</v>
      </c>
      <c r="E161" s="2">
        <v>3</v>
      </c>
      <c r="F161" s="5" t="s">
        <v>181</v>
      </c>
      <c r="G161" s="5" t="str">
        <f>VLOOKUP('[2]Beban Mengajar'!F161,[2]Dosen!A:B,2)</f>
        <v>Wahyu Agung Handono, S.E., M.M.</v>
      </c>
      <c r="J161" s="5"/>
    </row>
    <row r="162" spans="1:10" x14ac:dyDescent="0.3">
      <c r="A162" s="5" t="s">
        <v>664</v>
      </c>
      <c r="B162" s="51" t="s">
        <v>209</v>
      </c>
      <c r="C162" s="2" t="s">
        <v>730</v>
      </c>
      <c r="D162" s="5" t="s">
        <v>731</v>
      </c>
      <c r="E162" s="2">
        <v>3</v>
      </c>
      <c r="F162" s="5" t="s">
        <v>8</v>
      </c>
      <c r="G162" s="5" t="str">
        <f>VLOOKUP('[2]Beban Mengajar'!F162,[2]Dosen!A:B,2)</f>
        <v>Ahmad Dahlan Malik, B.A.(Hons). M.Ec.</v>
      </c>
      <c r="J162" s="5"/>
    </row>
    <row r="163" spans="1:10" x14ac:dyDescent="0.3">
      <c r="A163" s="5" t="s">
        <v>669</v>
      </c>
      <c r="B163" s="20" t="s">
        <v>228</v>
      </c>
      <c r="C163" s="9" t="s">
        <v>454</v>
      </c>
      <c r="D163" s="20" t="s">
        <v>733</v>
      </c>
      <c r="E163" s="59">
        <v>3</v>
      </c>
      <c r="F163" s="5" t="s">
        <v>140</v>
      </c>
      <c r="G163" s="5" t="str">
        <f>VLOOKUP('[2]Beban Mengajar'!F163,[2]Dosen!A:B,2)</f>
        <v>Puji Andayani, S.Si., M.Si., M.Sc.</v>
      </c>
      <c r="J163" s="5"/>
    </row>
    <row r="164" spans="1:10" x14ac:dyDescent="0.3">
      <c r="A164" s="5" t="s">
        <v>669</v>
      </c>
      <c r="B164" s="20" t="s">
        <v>228</v>
      </c>
      <c r="C164" s="60" t="s">
        <v>453</v>
      </c>
      <c r="D164" s="20" t="s">
        <v>734</v>
      </c>
      <c r="E164" s="59">
        <v>3</v>
      </c>
      <c r="F164" s="5" t="s">
        <v>34</v>
      </c>
      <c r="G164" s="5" t="str">
        <f>VLOOKUP('[2]Beban Mengajar'!F164,[2]Dosen!A:B,2)</f>
        <v>Elita Fidiya Nugrahani, S.T., M.Eng., M.T.</v>
      </c>
      <c r="J164" s="5"/>
    </row>
    <row r="165" spans="1:10" x14ac:dyDescent="0.3">
      <c r="A165" s="5" t="s">
        <v>669</v>
      </c>
      <c r="B165" s="20" t="s">
        <v>228</v>
      </c>
      <c r="C165" s="60" t="s">
        <v>457</v>
      </c>
      <c r="D165" s="20" t="s">
        <v>735</v>
      </c>
      <c r="E165" s="59">
        <v>3</v>
      </c>
      <c r="F165" s="5" t="s">
        <v>38</v>
      </c>
      <c r="G165" s="5" t="str">
        <f>VLOOKUP('[2]Beban Mengajar'!F165,[2]Dosen!A:B,2)</f>
        <v>Eka Lutfi Septiani, S.T., M.T.</v>
      </c>
      <c r="J165" s="5"/>
    </row>
    <row r="166" spans="1:10" x14ac:dyDescent="0.3">
      <c r="A166" s="5" t="s">
        <v>669</v>
      </c>
      <c r="B166" s="20" t="s">
        <v>228</v>
      </c>
      <c r="C166" s="46" t="s">
        <v>463</v>
      </c>
      <c r="D166" s="20" t="s">
        <v>736</v>
      </c>
      <c r="E166" s="59">
        <v>3</v>
      </c>
      <c r="F166" s="5" t="s">
        <v>134</v>
      </c>
      <c r="G166" s="5" t="str">
        <f>VLOOKUP('[2]Beban Mengajar'!F166,[2]Dosen!A:B,2)</f>
        <v>Niswatun Faria, S.T., M.Sc</v>
      </c>
      <c r="J166" s="5"/>
    </row>
    <row r="167" spans="1:10" x14ac:dyDescent="0.3">
      <c r="A167" s="5" t="s">
        <v>669</v>
      </c>
      <c r="B167" s="20" t="s">
        <v>228</v>
      </c>
      <c r="C167" s="61" t="s">
        <v>465</v>
      </c>
      <c r="D167" s="20" t="s">
        <v>737</v>
      </c>
      <c r="E167" s="59">
        <v>2</v>
      </c>
      <c r="F167" s="5" t="s">
        <v>34</v>
      </c>
      <c r="G167" s="5" t="str">
        <f>VLOOKUP('[2]Beban Mengajar'!F167,[2]Dosen!A:B,2)</f>
        <v>Elita Fidiya Nugrahani, S.T., M.Eng., M.T.</v>
      </c>
      <c r="J167" s="5"/>
    </row>
    <row r="168" spans="1:10" x14ac:dyDescent="0.3">
      <c r="A168" s="5" t="s">
        <v>669</v>
      </c>
      <c r="B168" s="20" t="s">
        <v>228</v>
      </c>
      <c r="C168" s="61" t="s">
        <v>467</v>
      </c>
      <c r="D168" s="20" t="s">
        <v>738</v>
      </c>
      <c r="E168" s="9">
        <v>2</v>
      </c>
      <c r="F168" s="5" t="s">
        <v>34</v>
      </c>
      <c r="G168" s="5" t="str">
        <f>VLOOKUP('[2]Beban Mengajar'!F168,[2]Dosen!A:B,2)</f>
        <v>Elita Fidiya Nugrahani, S.T., M.Eng., M.T.</v>
      </c>
      <c r="J168" s="5"/>
    </row>
    <row r="169" spans="1:10" x14ac:dyDescent="0.3">
      <c r="A169" s="5" t="s">
        <v>669</v>
      </c>
      <c r="B169" s="20" t="s">
        <v>228</v>
      </c>
      <c r="C169" s="60" t="s">
        <v>356</v>
      </c>
      <c r="D169" s="35" t="s">
        <v>357</v>
      </c>
      <c r="E169" s="9">
        <v>2</v>
      </c>
      <c r="F169" s="5"/>
      <c r="G169" s="5"/>
      <c r="I169">
        <v>45</v>
      </c>
      <c r="J169" s="5"/>
    </row>
    <row r="170" spans="1:10" x14ac:dyDescent="0.3">
      <c r="A170" s="5" t="s">
        <v>669</v>
      </c>
      <c r="B170" s="51" t="s">
        <v>229</v>
      </c>
      <c r="C170" s="61" t="s">
        <v>462</v>
      </c>
      <c r="D170" s="20" t="s">
        <v>739</v>
      </c>
      <c r="E170" s="59">
        <v>3</v>
      </c>
      <c r="F170" s="5" t="s">
        <v>146</v>
      </c>
      <c r="G170" s="5" t="str">
        <f>VLOOKUP('[2]Beban Mengajar'!F170,[2]Dosen!A:B,2)</f>
        <v>Qurrotin A'yunina Maulida Okta Arifianti, S.T., M.S.</v>
      </c>
      <c r="J170" s="5"/>
    </row>
    <row r="171" spans="1:10" x14ac:dyDescent="0.3">
      <c r="A171" s="5" t="s">
        <v>669</v>
      </c>
      <c r="B171" s="51" t="s">
        <v>229</v>
      </c>
      <c r="C171" s="59" t="s">
        <v>471</v>
      </c>
      <c r="D171" s="20" t="s">
        <v>740</v>
      </c>
      <c r="E171" s="59">
        <v>3</v>
      </c>
      <c r="F171" s="5" t="s">
        <v>10</v>
      </c>
      <c r="G171" s="5" t="str">
        <f>VLOOKUP('[2]Beban Mengajar'!F171,[2]Dosen!A:B,2)</f>
        <v>Andhika Eko Prasetyo, S.T., M.T.</v>
      </c>
      <c r="J171" s="5"/>
    </row>
    <row r="172" spans="1:10" x14ac:dyDescent="0.3">
      <c r="A172" s="5" t="s">
        <v>669</v>
      </c>
      <c r="B172" s="51" t="s">
        <v>229</v>
      </c>
      <c r="C172" s="61" t="s">
        <v>472</v>
      </c>
      <c r="D172" s="20" t="s">
        <v>741</v>
      </c>
      <c r="E172" s="59">
        <v>3</v>
      </c>
      <c r="F172" s="5" t="s">
        <v>146</v>
      </c>
      <c r="G172" s="5" t="str">
        <f>VLOOKUP('[2]Beban Mengajar'!F172,[2]Dosen!A:B,2)</f>
        <v>Qurrotin A'yunina Maulida Okta Arifianti, S.T., M.S.</v>
      </c>
      <c r="J172" s="5"/>
    </row>
    <row r="173" spans="1:10" x14ac:dyDescent="0.3">
      <c r="A173" s="5" t="s">
        <v>669</v>
      </c>
      <c r="B173" s="51" t="s">
        <v>229</v>
      </c>
      <c r="C173" s="60" t="s">
        <v>742</v>
      </c>
      <c r="D173" s="20" t="s">
        <v>743</v>
      </c>
      <c r="E173" s="59">
        <v>3</v>
      </c>
      <c r="F173" s="5" t="s">
        <v>134</v>
      </c>
      <c r="G173" s="5" t="str">
        <f>VLOOKUP('[2]Beban Mengajar'!F173,[2]Dosen!A:B,2)</f>
        <v>Niswatun Faria, S.T., M.Sc</v>
      </c>
      <c r="J173" s="5"/>
    </row>
    <row r="174" spans="1:10" x14ac:dyDescent="0.3">
      <c r="A174" s="5" t="s">
        <v>669</v>
      </c>
      <c r="B174" s="51" t="s">
        <v>229</v>
      </c>
      <c r="C174" s="60" t="s">
        <v>452</v>
      </c>
      <c r="D174" s="20" t="s">
        <v>744</v>
      </c>
      <c r="E174" s="59">
        <v>3</v>
      </c>
      <c r="F174" s="5" t="s">
        <v>134</v>
      </c>
      <c r="G174" s="5" t="str">
        <f>VLOOKUP('[2]Beban Mengajar'!F174,[2]Dosen!A:B,2)</f>
        <v>Niswatun Faria, S.T., M.Sc</v>
      </c>
      <c r="J174" s="5"/>
    </row>
    <row r="175" spans="1:10" x14ac:dyDescent="0.3">
      <c r="A175" s="5" t="s">
        <v>669</v>
      </c>
      <c r="B175" s="51" t="s">
        <v>229</v>
      </c>
      <c r="C175" s="61" t="s">
        <v>466</v>
      </c>
      <c r="D175" s="20" t="s">
        <v>745</v>
      </c>
      <c r="E175" s="9">
        <v>2</v>
      </c>
      <c r="F175" s="5"/>
      <c r="G175" s="5"/>
      <c r="J175" s="5"/>
    </row>
    <row r="176" spans="1:10" x14ac:dyDescent="0.3">
      <c r="A176" s="5" t="s">
        <v>669</v>
      </c>
      <c r="B176" s="51" t="s">
        <v>229</v>
      </c>
      <c r="C176" s="59" t="s">
        <v>746</v>
      </c>
      <c r="D176" s="20" t="s">
        <v>747</v>
      </c>
      <c r="E176" s="59">
        <v>3</v>
      </c>
      <c r="F176" s="5"/>
      <c r="G176" s="5"/>
      <c r="J176" s="5"/>
    </row>
    <row r="177" spans="1:10" x14ac:dyDescent="0.3">
      <c r="A177" s="5" t="s">
        <v>669</v>
      </c>
      <c r="B177" s="51" t="s">
        <v>230</v>
      </c>
      <c r="C177" s="61" t="s">
        <v>468</v>
      </c>
      <c r="D177" s="20" t="s">
        <v>748</v>
      </c>
      <c r="E177" s="59">
        <v>3</v>
      </c>
      <c r="F177" s="5" t="s">
        <v>146</v>
      </c>
      <c r="G177" s="5" t="str">
        <f>VLOOKUP('[2]Beban Mengajar'!F177,[2]Dosen!A:B,2)</f>
        <v>Qurrotin A'yunina Maulida Okta Arifianti, S.T., M.S.</v>
      </c>
      <c r="J177" s="5"/>
    </row>
    <row r="178" spans="1:10" x14ac:dyDescent="0.3">
      <c r="A178" s="5" t="s">
        <v>669</v>
      </c>
      <c r="B178" s="51" t="s">
        <v>230</v>
      </c>
      <c r="C178" s="59" t="s">
        <v>470</v>
      </c>
      <c r="D178" s="20" t="s">
        <v>749</v>
      </c>
      <c r="E178" s="59">
        <v>3</v>
      </c>
      <c r="F178" s="5" t="s">
        <v>34</v>
      </c>
      <c r="G178" s="5" t="str">
        <f>VLOOKUP('[2]Beban Mengajar'!F178,[2]Dosen!A:B,2)</f>
        <v>Elita Fidiya Nugrahani, S.T., M.Eng., M.T.</v>
      </c>
      <c r="J178" s="5"/>
    </row>
    <row r="179" spans="1:10" x14ac:dyDescent="0.3">
      <c r="A179" s="5" t="s">
        <v>669</v>
      </c>
      <c r="B179" s="51" t="s">
        <v>230</v>
      </c>
      <c r="C179" s="61" t="s">
        <v>450</v>
      </c>
      <c r="D179" s="20" t="s">
        <v>750</v>
      </c>
      <c r="E179" s="59">
        <v>3</v>
      </c>
      <c r="F179" s="5" t="s">
        <v>58</v>
      </c>
      <c r="G179" s="5" t="str">
        <f>VLOOKUP('[2]Beban Mengajar'!F179,[2]Dosen!A:B,2)</f>
        <v>Kuntum Khoiro Ummatin, S.T., M.T.</v>
      </c>
      <c r="J179" s="5"/>
    </row>
    <row r="180" spans="1:10" x14ac:dyDescent="0.3">
      <c r="A180" s="5" t="s">
        <v>669</v>
      </c>
      <c r="B180" s="51" t="s">
        <v>230</v>
      </c>
      <c r="C180" s="60" t="s">
        <v>461</v>
      </c>
      <c r="D180" s="20" t="s">
        <v>751</v>
      </c>
      <c r="E180" s="59">
        <v>3</v>
      </c>
      <c r="F180" s="5" t="s">
        <v>58</v>
      </c>
      <c r="G180" s="5" t="str">
        <f>VLOOKUP('[2]Beban Mengajar'!F180,[2]Dosen!A:B,2)</f>
        <v>Kuntum Khoiro Ummatin, S.T., M.T.</v>
      </c>
      <c r="J180" s="5"/>
    </row>
    <row r="181" spans="1:10" x14ac:dyDescent="0.3">
      <c r="A181" s="5" t="s">
        <v>669</v>
      </c>
      <c r="B181" s="51" t="s">
        <v>230</v>
      </c>
      <c r="C181" s="61" t="s">
        <v>459</v>
      </c>
      <c r="D181" s="20" t="s">
        <v>752</v>
      </c>
      <c r="E181" s="9">
        <v>2</v>
      </c>
      <c r="F181" s="5" t="s">
        <v>54</v>
      </c>
      <c r="G181" s="5" t="str">
        <f>VLOOKUP('[2]Beban Mengajar'!F181,[2]Dosen!A:B,2)</f>
        <v>Izzati Winda Murti, S.T., M.T.</v>
      </c>
      <c r="J181" s="5"/>
    </row>
    <row r="182" spans="1:10" x14ac:dyDescent="0.3">
      <c r="A182" s="5" t="s">
        <v>669</v>
      </c>
      <c r="B182" s="51" t="s">
        <v>230</v>
      </c>
      <c r="C182" s="61" t="s">
        <v>469</v>
      </c>
      <c r="D182" s="20" t="s">
        <v>753</v>
      </c>
      <c r="E182" s="59">
        <v>3</v>
      </c>
      <c r="F182" s="5" t="s">
        <v>10</v>
      </c>
      <c r="G182" s="5" t="str">
        <f>VLOOKUP('[2]Beban Mengajar'!F182,[2]Dosen!A:B,2)</f>
        <v>Andhika Eko Prasetyo, S.T., M.T.</v>
      </c>
      <c r="J182" s="5"/>
    </row>
    <row r="183" spans="1:10" x14ac:dyDescent="0.3">
      <c r="A183" s="5" t="s">
        <v>669</v>
      </c>
      <c r="B183" s="51" t="s">
        <v>230</v>
      </c>
      <c r="C183" s="60" t="s">
        <v>352</v>
      </c>
      <c r="D183" s="55" t="s">
        <v>868</v>
      </c>
      <c r="E183" s="9">
        <v>2</v>
      </c>
      <c r="F183" s="5" t="s">
        <v>54</v>
      </c>
      <c r="G183" s="5" t="str">
        <f>VLOOKUP('[2]Beban Mengajar'!F183,[2]Dosen!A:B,2)</f>
        <v>Izzati Winda Murti, S.T., M.T.</v>
      </c>
      <c r="I183">
        <v>61</v>
      </c>
      <c r="J183" s="5"/>
    </row>
    <row r="184" spans="1:10" x14ac:dyDescent="0.3">
      <c r="A184" s="5" t="s">
        <v>669</v>
      </c>
      <c r="B184" s="51" t="s">
        <v>232</v>
      </c>
      <c r="C184" s="59" t="s">
        <v>464</v>
      </c>
      <c r="D184" s="20" t="s">
        <v>754</v>
      </c>
      <c r="E184" s="59">
        <v>3</v>
      </c>
      <c r="F184" s="5" t="s">
        <v>10</v>
      </c>
      <c r="G184" s="5" t="str">
        <f>VLOOKUP('[2]Beban Mengajar'!F184,[2]Dosen!A:B,2)</f>
        <v>Andhika Eko Prasetyo, S.T., M.T.</v>
      </c>
      <c r="J184" s="5"/>
    </row>
    <row r="185" spans="1:10" x14ac:dyDescent="0.3">
      <c r="A185" s="5" t="s">
        <v>669</v>
      </c>
      <c r="B185" s="51" t="s">
        <v>232</v>
      </c>
      <c r="C185" s="59" t="s">
        <v>449</v>
      </c>
      <c r="D185" s="20" t="s">
        <v>755</v>
      </c>
      <c r="E185" s="59">
        <v>3</v>
      </c>
      <c r="F185" s="5" t="s">
        <v>58</v>
      </c>
      <c r="G185" s="5" t="str">
        <f>VLOOKUP('[2]Beban Mengajar'!F185,[2]Dosen!A:B,2)</f>
        <v>Kuntum Khoiro Ummatin, S.T., M.T.</v>
      </c>
      <c r="J185" s="5"/>
    </row>
    <row r="186" spans="1:10" x14ac:dyDescent="0.3">
      <c r="A186" s="5" t="s">
        <v>669</v>
      </c>
      <c r="B186" s="51" t="s">
        <v>232</v>
      </c>
      <c r="C186" s="59" t="s">
        <v>456</v>
      </c>
      <c r="D186" s="20" t="s">
        <v>756</v>
      </c>
      <c r="E186" s="59">
        <v>3</v>
      </c>
      <c r="F186" s="5" t="s">
        <v>34</v>
      </c>
      <c r="G186" s="5" t="str">
        <f>VLOOKUP('[2]Beban Mengajar'!F186,[2]Dosen!A:B,2)</f>
        <v>Elita Fidiya Nugrahani, S.T., M.Eng., M.T.</v>
      </c>
      <c r="J186" s="5"/>
    </row>
    <row r="187" spans="1:10" x14ac:dyDescent="0.3">
      <c r="A187" s="5" t="s">
        <v>669</v>
      </c>
      <c r="B187" s="51" t="s">
        <v>232</v>
      </c>
      <c r="C187" s="59"/>
      <c r="D187" s="20" t="s">
        <v>757</v>
      </c>
      <c r="E187" s="59">
        <v>3</v>
      </c>
      <c r="F187" s="5" t="s">
        <v>54</v>
      </c>
      <c r="G187" s="5" t="str">
        <f>VLOOKUP('[2]Beban Mengajar'!F187,[2]Dosen!A:B,2)</f>
        <v>Izzati Winda Murti, S.T., M.T.</v>
      </c>
      <c r="J187" s="5"/>
    </row>
    <row r="188" spans="1:10" x14ac:dyDescent="0.3">
      <c r="A188" s="5" t="s">
        <v>669</v>
      </c>
      <c r="B188" s="51" t="s">
        <v>232</v>
      </c>
      <c r="C188" s="59"/>
      <c r="D188" s="58" t="s">
        <v>758</v>
      </c>
      <c r="E188" s="59">
        <v>3</v>
      </c>
      <c r="F188" s="5" t="s">
        <v>134</v>
      </c>
      <c r="G188" s="5" t="str">
        <f>VLOOKUP('[2]Beban Mengajar'!F188,[2]Dosen!A:B,2)</f>
        <v>Niswatun Faria, S.T., M.Sc</v>
      </c>
      <c r="J188" s="5"/>
    </row>
    <row r="189" spans="1:10" x14ac:dyDescent="0.3">
      <c r="A189" s="5" t="s">
        <v>669</v>
      </c>
      <c r="B189" s="51" t="s">
        <v>232</v>
      </c>
      <c r="C189" s="59"/>
      <c r="D189" s="58" t="s">
        <v>759</v>
      </c>
      <c r="E189" s="59">
        <v>3</v>
      </c>
      <c r="F189" s="5" t="s">
        <v>146</v>
      </c>
      <c r="G189" s="5" t="str">
        <f>VLOOKUP('[2]Beban Mengajar'!F189,[2]Dosen!A:B,2)</f>
        <v>Qurrotin A'yunina Maulida Okta Arifianti, S.T., M.S.</v>
      </c>
      <c r="J189" s="5"/>
    </row>
    <row r="190" spans="1:10" x14ac:dyDescent="0.3">
      <c r="A190" s="5" t="s">
        <v>669</v>
      </c>
      <c r="B190" s="51" t="s">
        <v>231</v>
      </c>
      <c r="C190" s="61" t="s">
        <v>468</v>
      </c>
      <c r="D190" s="20" t="s">
        <v>748</v>
      </c>
      <c r="E190" s="59">
        <v>3</v>
      </c>
      <c r="F190" s="5" t="s">
        <v>146</v>
      </c>
      <c r="G190" s="5" t="str">
        <f>VLOOKUP('[2]Beban Mengajar'!F190,[2]Dosen!A:B,2)</f>
        <v>Qurrotin A'yunina Maulida Okta Arifianti, S.T., M.S.</v>
      </c>
      <c r="J190" s="5"/>
    </row>
    <row r="191" spans="1:10" x14ac:dyDescent="0.3">
      <c r="A191" s="5" t="s">
        <v>683</v>
      </c>
      <c r="B191" s="20" t="s">
        <v>243</v>
      </c>
      <c r="C191" s="43" t="s">
        <v>356</v>
      </c>
      <c r="D191" s="35" t="s">
        <v>357</v>
      </c>
      <c r="E191" s="43">
        <v>2</v>
      </c>
      <c r="F191" s="5"/>
      <c r="G191" s="5"/>
      <c r="H191" s="54" t="s">
        <v>668</v>
      </c>
      <c r="I191">
        <v>50</v>
      </c>
      <c r="J191" s="5"/>
    </row>
    <row r="192" spans="1:10" x14ac:dyDescent="0.3">
      <c r="A192" s="5" t="s">
        <v>683</v>
      </c>
      <c r="B192" s="20" t="s">
        <v>243</v>
      </c>
      <c r="C192" s="43" t="s">
        <v>585</v>
      </c>
      <c r="D192" s="44" t="s">
        <v>586</v>
      </c>
      <c r="E192" s="43">
        <v>3</v>
      </c>
      <c r="F192" s="5" t="s">
        <v>136</v>
      </c>
      <c r="G192" s="5" t="str">
        <f>VLOOKUP('[2]Beban Mengajar'!F192,[2]Dosen!A:B,2)</f>
        <v>Oki Anita Candra Dewi, S.T., M.T.</v>
      </c>
      <c r="J192" s="5"/>
    </row>
    <row r="193" spans="1:10" x14ac:dyDescent="0.3">
      <c r="A193" s="5" t="s">
        <v>683</v>
      </c>
      <c r="B193" s="20" t="s">
        <v>243</v>
      </c>
      <c r="C193" s="43" t="s">
        <v>760</v>
      </c>
      <c r="D193" s="44" t="s">
        <v>761</v>
      </c>
      <c r="E193" s="43" t="s">
        <v>873</v>
      </c>
      <c r="F193" s="5" t="s">
        <v>125</v>
      </c>
      <c r="G193" s="5"/>
      <c r="H193" t="s">
        <v>874</v>
      </c>
      <c r="J193" s="5"/>
    </row>
    <row r="194" spans="1:10" x14ac:dyDescent="0.3">
      <c r="A194" s="5" t="s">
        <v>683</v>
      </c>
      <c r="B194" s="20" t="s">
        <v>243</v>
      </c>
      <c r="C194" s="43" t="s">
        <v>760</v>
      </c>
      <c r="D194" s="44" t="s">
        <v>761</v>
      </c>
      <c r="E194" s="43" t="s">
        <v>873</v>
      </c>
      <c r="F194" s="5" t="s">
        <v>136</v>
      </c>
      <c r="G194" s="5"/>
      <c r="H194" t="s">
        <v>874</v>
      </c>
      <c r="J194" s="5"/>
    </row>
    <row r="195" spans="1:10" x14ac:dyDescent="0.3">
      <c r="A195" s="5" t="s">
        <v>683</v>
      </c>
      <c r="B195" s="20" t="s">
        <v>243</v>
      </c>
      <c r="C195" s="43" t="s">
        <v>762</v>
      </c>
      <c r="D195" s="44" t="s">
        <v>535</v>
      </c>
      <c r="E195" s="43">
        <v>2</v>
      </c>
      <c r="F195" s="5" t="s">
        <v>134</v>
      </c>
      <c r="G195" s="5"/>
      <c r="H195" t="s">
        <v>875</v>
      </c>
      <c r="J195" s="5"/>
    </row>
    <row r="196" spans="1:10" x14ac:dyDescent="0.3">
      <c r="A196" s="5" t="s">
        <v>683</v>
      </c>
      <c r="B196" s="20" t="s">
        <v>243</v>
      </c>
      <c r="C196" s="43" t="s">
        <v>571</v>
      </c>
      <c r="D196" s="44" t="s">
        <v>536</v>
      </c>
      <c r="E196" s="43">
        <v>3</v>
      </c>
      <c r="F196" s="5" t="s">
        <v>131</v>
      </c>
      <c r="G196" s="5" t="str">
        <f>VLOOKUP('[2]Beban Mengajar'!F196,[2]Dosen!A:B,2)</f>
        <v>Ngatini</v>
      </c>
      <c r="J196" s="5"/>
    </row>
    <row r="197" spans="1:10" x14ac:dyDescent="0.3">
      <c r="A197" s="5" t="s">
        <v>683</v>
      </c>
      <c r="B197" s="20" t="s">
        <v>243</v>
      </c>
      <c r="C197" s="43" t="s">
        <v>763</v>
      </c>
      <c r="D197" s="44" t="s">
        <v>567</v>
      </c>
      <c r="E197" s="43">
        <v>3</v>
      </c>
      <c r="F197" s="5" t="s">
        <v>41</v>
      </c>
      <c r="G197" s="5"/>
      <c r="H197" t="s">
        <v>876</v>
      </c>
      <c r="J197" s="5"/>
    </row>
    <row r="198" spans="1:10" x14ac:dyDescent="0.3">
      <c r="A198" s="5" t="s">
        <v>683</v>
      </c>
      <c r="B198" s="20" t="s">
        <v>243</v>
      </c>
      <c r="C198" s="43" t="s">
        <v>764</v>
      </c>
      <c r="D198" s="44" t="s">
        <v>458</v>
      </c>
      <c r="E198" s="43">
        <v>3</v>
      </c>
      <c r="F198" s="5" t="s">
        <v>189</v>
      </c>
      <c r="G198" s="5"/>
      <c r="H198" t="s">
        <v>877</v>
      </c>
      <c r="J198" s="5"/>
    </row>
    <row r="199" spans="1:10" x14ac:dyDescent="0.3">
      <c r="A199" s="5" t="s">
        <v>683</v>
      </c>
      <c r="B199" s="51" t="s">
        <v>245</v>
      </c>
      <c r="C199" s="43" t="s">
        <v>352</v>
      </c>
      <c r="D199" s="55" t="s">
        <v>868</v>
      </c>
      <c r="E199" s="43">
        <v>2</v>
      </c>
      <c r="F199" s="5"/>
      <c r="G199" s="5"/>
      <c r="H199" t="s">
        <v>878</v>
      </c>
      <c r="I199">
        <v>55</v>
      </c>
      <c r="J199" s="5"/>
    </row>
    <row r="200" spans="1:10" x14ac:dyDescent="0.3">
      <c r="A200" s="5" t="s">
        <v>683</v>
      </c>
      <c r="B200" s="51" t="s">
        <v>245</v>
      </c>
      <c r="C200" s="43" t="s">
        <v>765</v>
      </c>
      <c r="D200" s="44" t="s">
        <v>573</v>
      </c>
      <c r="E200" s="43">
        <v>2</v>
      </c>
      <c r="F200" s="5" t="s">
        <v>115</v>
      </c>
      <c r="G200" s="5" t="str">
        <f>VLOOKUP('[2]Beban Mengajar'!F200,[2]Dosen!A:B,2)</f>
        <v>Muhammad Faisal Ibrahim, S.T., M.T.</v>
      </c>
      <c r="J200" s="5"/>
    </row>
    <row r="201" spans="1:10" x14ac:dyDescent="0.3">
      <c r="A201" s="5" t="s">
        <v>683</v>
      </c>
      <c r="B201" s="51" t="s">
        <v>245</v>
      </c>
      <c r="C201" s="43" t="s">
        <v>766</v>
      </c>
      <c r="D201" s="44" t="s">
        <v>767</v>
      </c>
      <c r="E201" s="43">
        <v>3</v>
      </c>
      <c r="F201" s="5" t="s">
        <v>166</v>
      </c>
      <c r="G201" s="5" t="str">
        <f>VLOOKUP('[2]Beban Mengajar'!F201,[2]Dosen!A:B,2)</f>
        <v>Sekarsari Utami Wijaya, S.Stat</v>
      </c>
      <c r="J201" s="5"/>
    </row>
    <row r="202" spans="1:10" x14ac:dyDescent="0.3">
      <c r="A202" s="5" t="s">
        <v>683</v>
      </c>
      <c r="B202" s="51" t="s">
        <v>245</v>
      </c>
      <c r="C202" s="43" t="s">
        <v>768</v>
      </c>
      <c r="D202" s="44" t="s">
        <v>769</v>
      </c>
      <c r="E202" s="43">
        <v>3</v>
      </c>
      <c r="F202" s="5" t="s">
        <v>164</v>
      </c>
      <c r="G202" s="5" t="str">
        <f>VLOOKUP('[2]Beban Mengajar'!F202,[2]Dosen!A:B,2)</f>
        <v>Siti Nurminarsih, S.T., M.T.</v>
      </c>
      <c r="J202" s="5"/>
    </row>
    <row r="203" spans="1:10" x14ac:dyDescent="0.3">
      <c r="A203" s="5" t="s">
        <v>683</v>
      </c>
      <c r="B203" s="51" t="s">
        <v>245</v>
      </c>
      <c r="C203" s="43" t="s">
        <v>770</v>
      </c>
      <c r="D203" s="44" t="s">
        <v>581</v>
      </c>
      <c r="E203" s="43">
        <v>3</v>
      </c>
      <c r="F203" s="5" t="s">
        <v>166</v>
      </c>
      <c r="G203" s="5" t="str">
        <f>VLOOKUP('[2]Beban Mengajar'!F203,[2]Dosen!A:B,2)</f>
        <v>Sekarsari Utami Wijaya, S.Stat</v>
      </c>
      <c r="J203" s="5"/>
    </row>
    <row r="204" spans="1:10" x14ac:dyDescent="0.3">
      <c r="A204" s="5" t="s">
        <v>683</v>
      </c>
      <c r="B204" s="51" t="s">
        <v>245</v>
      </c>
      <c r="C204" s="43" t="s">
        <v>595</v>
      </c>
      <c r="D204" s="44" t="s">
        <v>596</v>
      </c>
      <c r="E204" s="43" t="s">
        <v>879</v>
      </c>
      <c r="F204" s="5" t="s">
        <v>166</v>
      </c>
      <c r="G204" s="5" t="str">
        <f>VLOOKUP('[2]Beban Mengajar'!F204,[2]Dosen!A:B,2)</f>
        <v>Sekarsari Utami Wijaya, S.Stat</v>
      </c>
      <c r="J204" s="5"/>
    </row>
    <row r="205" spans="1:10" x14ac:dyDescent="0.3">
      <c r="A205" s="5" t="s">
        <v>683</v>
      </c>
      <c r="B205" s="51" t="s">
        <v>245</v>
      </c>
      <c r="C205" s="43" t="s">
        <v>771</v>
      </c>
      <c r="D205" s="44" t="s">
        <v>600</v>
      </c>
      <c r="E205" s="43" t="s">
        <v>879</v>
      </c>
      <c r="F205" s="5" t="s">
        <v>125</v>
      </c>
      <c r="G205" s="5" t="str">
        <f>VLOOKUP('[2]Beban Mengajar'!F205,[2]Dosen!A:B,2)</f>
        <v>Maulin Masyito Putri, S.T., M.T</v>
      </c>
      <c r="J205" s="5"/>
    </row>
    <row r="206" spans="1:10" x14ac:dyDescent="0.3">
      <c r="A206" s="5" t="s">
        <v>683</v>
      </c>
      <c r="B206" s="51" t="s">
        <v>247</v>
      </c>
      <c r="C206" s="43" t="s">
        <v>527</v>
      </c>
      <c r="D206" s="44" t="s">
        <v>417</v>
      </c>
      <c r="E206" s="43">
        <v>2</v>
      </c>
      <c r="F206" s="5"/>
      <c r="G206" s="5"/>
      <c r="J206" s="5"/>
    </row>
    <row r="207" spans="1:10" x14ac:dyDescent="0.3">
      <c r="A207" s="5" t="s">
        <v>683</v>
      </c>
      <c r="B207" s="51" t="s">
        <v>247</v>
      </c>
      <c r="C207" s="43" t="s">
        <v>589</v>
      </c>
      <c r="D207" s="44" t="s">
        <v>590</v>
      </c>
      <c r="E207" s="43">
        <v>4</v>
      </c>
      <c r="F207" s="5" t="s">
        <v>125</v>
      </c>
      <c r="G207" s="5" t="str">
        <f>VLOOKUP('[2]Beban Mengajar'!F207,[2]Dosen!A:B,2)</f>
        <v>Maulin Masyito Putri, S.T., M.T</v>
      </c>
      <c r="J207" s="5"/>
    </row>
    <row r="208" spans="1:10" x14ac:dyDescent="0.3">
      <c r="A208" s="5" t="s">
        <v>683</v>
      </c>
      <c r="B208" s="51" t="s">
        <v>247</v>
      </c>
      <c r="C208" s="43" t="s">
        <v>577</v>
      </c>
      <c r="D208" s="44" t="s">
        <v>772</v>
      </c>
      <c r="E208" s="43">
        <v>2</v>
      </c>
      <c r="F208" s="5" t="s">
        <v>123</v>
      </c>
      <c r="G208" s="5" t="str">
        <f>VLOOKUP('[2]Beban Mengajar'!F208,[2]Dosen!A:B,2)</f>
        <v>Marisya Mahdia Khoirina, S.M., M.M.</v>
      </c>
      <c r="J208" s="5"/>
    </row>
    <row r="209" spans="1:10" x14ac:dyDescent="0.3">
      <c r="A209" s="5" t="s">
        <v>683</v>
      </c>
      <c r="B209" s="51" t="s">
        <v>247</v>
      </c>
      <c r="C209" s="43" t="s">
        <v>597</v>
      </c>
      <c r="D209" s="44" t="s">
        <v>598</v>
      </c>
      <c r="E209" s="43">
        <v>3</v>
      </c>
      <c r="F209" s="5" t="s">
        <v>185</v>
      </c>
      <c r="G209" s="5" t="str">
        <f>VLOOKUP('[2]Beban Mengajar'!F209,[2]Dosen!A:B,2)</f>
        <v>Winda Narulidea, S.T., M.T.</v>
      </c>
      <c r="J209" s="5"/>
    </row>
    <row r="210" spans="1:10" x14ac:dyDescent="0.3">
      <c r="A210" s="5" t="s">
        <v>683</v>
      </c>
      <c r="B210" s="51" t="s">
        <v>247</v>
      </c>
      <c r="C210" s="43" t="s">
        <v>583</v>
      </c>
      <c r="D210" s="44" t="s">
        <v>773</v>
      </c>
      <c r="E210" s="43">
        <v>3</v>
      </c>
      <c r="F210" s="5" t="s">
        <v>185</v>
      </c>
      <c r="G210" s="5" t="str">
        <f>VLOOKUP('[2]Beban Mengajar'!F210,[2]Dosen!A:B,2)</f>
        <v>Winda Narulidea, S.T., M.T.</v>
      </c>
      <c r="J210" s="5"/>
    </row>
    <row r="211" spans="1:10" x14ac:dyDescent="0.3">
      <c r="A211" s="5" t="s">
        <v>683</v>
      </c>
      <c r="B211" s="51" t="s">
        <v>247</v>
      </c>
      <c r="C211" s="43" t="s">
        <v>587</v>
      </c>
      <c r="D211" s="44" t="s">
        <v>588</v>
      </c>
      <c r="E211" s="43">
        <v>3</v>
      </c>
      <c r="F211" s="5" t="s">
        <v>125</v>
      </c>
      <c r="G211" s="5" t="str">
        <f>VLOOKUP('[2]Beban Mengajar'!F211,[2]Dosen!A:B,2)</f>
        <v>Maulin Masyito Putri, S.T., M.T</v>
      </c>
      <c r="J211" s="5"/>
    </row>
    <row r="212" spans="1:10" x14ac:dyDescent="0.3">
      <c r="A212" s="5" t="s">
        <v>683</v>
      </c>
      <c r="B212" s="51" t="s">
        <v>656</v>
      </c>
      <c r="C212" s="43" t="s">
        <v>774</v>
      </c>
      <c r="D212" s="44" t="s">
        <v>336</v>
      </c>
      <c r="E212" s="43">
        <v>2</v>
      </c>
      <c r="F212" s="5" t="s">
        <v>136</v>
      </c>
      <c r="G212" s="5" t="str">
        <f>VLOOKUP('[2]Beban Mengajar'!F212,[2]Dosen!A:B,2)</f>
        <v>Oki Anita Candra Dewi, S.T., M.T.</v>
      </c>
      <c r="J212" s="5"/>
    </row>
    <row r="213" spans="1:10" x14ac:dyDescent="0.3">
      <c r="A213" s="5" t="s">
        <v>683</v>
      </c>
      <c r="B213" s="51" t="s">
        <v>656</v>
      </c>
      <c r="C213" s="43" t="s">
        <v>575</v>
      </c>
      <c r="D213" s="44" t="s">
        <v>775</v>
      </c>
      <c r="E213" s="43">
        <v>3</v>
      </c>
      <c r="F213" s="5" t="s">
        <v>164</v>
      </c>
      <c r="G213" s="5" t="str">
        <f>VLOOKUP('[2]Beban Mengajar'!F213,[2]Dosen!A:B,2)</f>
        <v>Siti Nurminarsih, S.T., M.T.</v>
      </c>
      <c r="J213" s="5"/>
    </row>
    <row r="214" spans="1:10" x14ac:dyDescent="0.3">
      <c r="A214" s="5" t="s">
        <v>683</v>
      </c>
      <c r="B214" s="51" t="s">
        <v>656</v>
      </c>
      <c r="C214" s="43" t="s">
        <v>591</v>
      </c>
      <c r="D214" s="44" t="s">
        <v>592</v>
      </c>
      <c r="E214" s="43" t="s">
        <v>880</v>
      </c>
      <c r="F214" s="5" t="s">
        <v>125</v>
      </c>
      <c r="G214" s="5" t="str">
        <f>VLOOKUP('[2]Beban Mengajar'!F214,[2]Dosen!A:B,2)</f>
        <v>Maulin Masyito Putri, S.T., M.T</v>
      </c>
      <c r="J214" s="5"/>
    </row>
    <row r="215" spans="1:10" x14ac:dyDescent="0.3">
      <c r="A215" s="5" t="s">
        <v>683</v>
      </c>
      <c r="B215" s="51" t="s">
        <v>656</v>
      </c>
      <c r="C215" s="43" t="s">
        <v>563</v>
      </c>
      <c r="D215" s="44" t="s">
        <v>564</v>
      </c>
      <c r="E215" s="43">
        <v>5</v>
      </c>
      <c r="F215" s="5" t="s">
        <v>136</v>
      </c>
      <c r="G215" s="5" t="str">
        <f>VLOOKUP('[2]Beban Mengajar'!F215,[2]Dosen!A:B,2)</f>
        <v>Oki Anita Candra Dewi, S.T., M.T.</v>
      </c>
      <c r="J215" s="5"/>
    </row>
    <row r="216" spans="1:10" x14ac:dyDescent="0.3">
      <c r="A216" s="5" t="s">
        <v>683</v>
      </c>
      <c r="B216" s="51" t="s">
        <v>656</v>
      </c>
      <c r="C216" s="43" t="s">
        <v>579</v>
      </c>
      <c r="D216" s="44" t="s">
        <v>460</v>
      </c>
      <c r="E216" s="43">
        <v>2</v>
      </c>
      <c r="F216" s="5" t="s">
        <v>164</v>
      </c>
      <c r="G216" s="5" t="str">
        <f>VLOOKUP('[2]Beban Mengajar'!F216,[2]Dosen!A:B,2)</f>
        <v>Siti Nurminarsih, S.T., M.T.</v>
      </c>
      <c r="J216" s="5"/>
    </row>
    <row r="217" spans="1:10" x14ac:dyDescent="0.3">
      <c r="A217" s="5" t="s">
        <v>683</v>
      </c>
      <c r="B217" s="20" t="s">
        <v>249</v>
      </c>
      <c r="C217" s="43" t="s">
        <v>776</v>
      </c>
      <c r="D217" s="44" t="s">
        <v>777</v>
      </c>
      <c r="E217" s="43">
        <v>3</v>
      </c>
      <c r="F217" s="5" t="s">
        <v>881</v>
      </c>
      <c r="G217" s="5"/>
      <c r="J217" s="5"/>
    </row>
    <row r="218" spans="1:10" x14ac:dyDescent="0.3">
      <c r="A218" s="5" t="s">
        <v>683</v>
      </c>
      <c r="B218" s="20" t="s">
        <v>249</v>
      </c>
      <c r="C218" s="43" t="s">
        <v>778</v>
      </c>
      <c r="D218" s="44" t="s">
        <v>779</v>
      </c>
      <c r="E218" s="43">
        <v>3</v>
      </c>
      <c r="F218" s="5"/>
      <c r="G218" s="5"/>
      <c r="H218" s="54" t="s">
        <v>668</v>
      </c>
      <c r="J218" s="5"/>
    </row>
    <row r="219" spans="1:10" x14ac:dyDescent="0.3">
      <c r="A219" s="5" t="s">
        <v>683</v>
      </c>
      <c r="B219" s="20" t="s">
        <v>249</v>
      </c>
      <c r="C219" s="5"/>
      <c r="D219" s="44" t="s">
        <v>780</v>
      </c>
      <c r="E219" s="43">
        <v>3</v>
      </c>
      <c r="F219" s="5" t="s">
        <v>115</v>
      </c>
      <c r="G219" s="5" t="str">
        <f>VLOOKUP('[2]Beban Mengajar'!F219,[2]Dosen!A:B,2)</f>
        <v>Muhammad Faisal Ibrahim, S.T., M.T.</v>
      </c>
      <c r="J219" s="5"/>
    </row>
    <row r="220" spans="1:10" ht="57.6" x14ac:dyDescent="0.3">
      <c r="A220" s="5" t="s">
        <v>683</v>
      </c>
      <c r="B220" s="51" t="s">
        <v>246</v>
      </c>
      <c r="C220" s="43" t="s">
        <v>352</v>
      </c>
      <c r="D220" s="55" t="s">
        <v>868</v>
      </c>
      <c r="E220" s="43">
        <v>2</v>
      </c>
      <c r="F220" s="5"/>
      <c r="G220" s="5"/>
      <c r="H220" s="62" t="s">
        <v>882</v>
      </c>
      <c r="I220">
        <v>0</v>
      </c>
      <c r="J220" s="5"/>
    </row>
    <row r="221" spans="1:10" ht="57.6" x14ac:dyDescent="0.3">
      <c r="A221" s="5" t="s">
        <v>683</v>
      </c>
      <c r="B221" s="51" t="s">
        <v>246</v>
      </c>
      <c r="C221" s="43" t="s">
        <v>768</v>
      </c>
      <c r="D221" s="44" t="s">
        <v>769</v>
      </c>
      <c r="E221" s="43">
        <v>3</v>
      </c>
      <c r="F221" s="5" t="s">
        <v>164</v>
      </c>
      <c r="G221" s="5" t="str">
        <f>VLOOKUP('[2]Beban Mengajar'!F221,[2]Dosen!A:B,2)</f>
        <v>Siti Nurminarsih, S.T., M.T.</v>
      </c>
      <c r="H221" s="62" t="s">
        <v>882</v>
      </c>
      <c r="J221" s="5"/>
    </row>
    <row r="222" spans="1:10" ht="57.6" x14ac:dyDescent="0.3">
      <c r="A222" s="5" t="s">
        <v>683</v>
      </c>
      <c r="B222" s="51" t="s">
        <v>246</v>
      </c>
      <c r="C222" s="43" t="s">
        <v>595</v>
      </c>
      <c r="D222" s="44" t="s">
        <v>596</v>
      </c>
      <c r="E222" s="43" t="s">
        <v>879</v>
      </c>
      <c r="F222" s="5" t="s">
        <v>185</v>
      </c>
      <c r="G222" s="5" t="str">
        <f>VLOOKUP('[2]Beban Mengajar'!F222,[2]Dosen!A:B,2)</f>
        <v>Winda Narulidea, S.T., M.T.</v>
      </c>
      <c r="H222" s="62" t="s">
        <v>882</v>
      </c>
      <c r="J222" s="5"/>
    </row>
    <row r="223" spans="1:10" ht="57.6" x14ac:dyDescent="0.3">
      <c r="A223" s="5" t="s">
        <v>683</v>
      </c>
      <c r="B223" s="51" t="s">
        <v>246</v>
      </c>
      <c r="C223" s="43" t="s">
        <v>771</v>
      </c>
      <c r="D223" s="44" t="s">
        <v>600</v>
      </c>
      <c r="E223" s="43" t="s">
        <v>879</v>
      </c>
      <c r="F223" s="5" t="s">
        <v>115</v>
      </c>
      <c r="G223" s="5" t="str">
        <f>VLOOKUP('[2]Beban Mengajar'!F223,[2]Dosen!A:B,2)</f>
        <v>Muhammad Faisal Ibrahim, S.T., M.T.</v>
      </c>
      <c r="H223" s="62" t="s">
        <v>882</v>
      </c>
      <c r="J223" s="5"/>
    </row>
    <row r="224" spans="1:10" x14ac:dyDescent="0.3">
      <c r="A224" s="5" t="s">
        <v>683</v>
      </c>
      <c r="B224" s="51" t="s">
        <v>248</v>
      </c>
      <c r="C224" s="43" t="s">
        <v>527</v>
      </c>
      <c r="D224" s="44" t="s">
        <v>417</v>
      </c>
      <c r="E224" s="43">
        <v>2</v>
      </c>
      <c r="F224" s="5"/>
      <c r="G224" s="5"/>
      <c r="J224" s="5"/>
    </row>
    <row r="225" spans="1:10" ht="57.6" x14ac:dyDescent="0.3">
      <c r="A225" s="5" t="s">
        <v>683</v>
      </c>
      <c r="B225" s="51" t="s">
        <v>248</v>
      </c>
      <c r="C225" s="43" t="s">
        <v>589</v>
      </c>
      <c r="D225" s="44" t="s">
        <v>590</v>
      </c>
      <c r="E225" s="43">
        <v>4</v>
      </c>
      <c r="F225" s="5" t="s">
        <v>164</v>
      </c>
      <c r="G225" s="5" t="str">
        <f>VLOOKUP('[2]Beban Mengajar'!F225,[2]Dosen!A:B,2)</f>
        <v>Siti Nurminarsih, S.T., M.T.</v>
      </c>
      <c r="H225" s="62" t="s">
        <v>883</v>
      </c>
      <c r="J225" s="5"/>
    </row>
    <row r="226" spans="1:10" ht="57.6" x14ac:dyDescent="0.3">
      <c r="A226" s="5" t="s">
        <v>683</v>
      </c>
      <c r="B226" s="51" t="s">
        <v>248</v>
      </c>
      <c r="C226" s="43" t="s">
        <v>577</v>
      </c>
      <c r="D226" s="44" t="s">
        <v>772</v>
      </c>
      <c r="E226" s="43">
        <v>2</v>
      </c>
      <c r="F226" s="5" t="s">
        <v>113</v>
      </c>
      <c r="G226" s="5" t="str">
        <f>VLOOKUP('[2]Beban Mengajar'!F226,[2]Dosen!A:B,2)</f>
        <v>Mirza Dwinanda Ilmawan, S.E., M.M.</v>
      </c>
      <c r="H226" s="62" t="s">
        <v>883</v>
      </c>
      <c r="J226" s="5"/>
    </row>
    <row r="227" spans="1:10" ht="57.6" x14ac:dyDescent="0.3">
      <c r="A227" s="5" t="s">
        <v>683</v>
      </c>
      <c r="B227" s="51" t="s">
        <v>248</v>
      </c>
      <c r="C227" s="43" t="s">
        <v>597</v>
      </c>
      <c r="D227" s="44" t="s">
        <v>598</v>
      </c>
      <c r="E227" s="43">
        <v>3</v>
      </c>
      <c r="F227" s="5" t="s">
        <v>115</v>
      </c>
      <c r="G227" s="5" t="str">
        <f>VLOOKUP('[2]Beban Mengajar'!F227,[2]Dosen!A:B,2)</f>
        <v>Muhammad Faisal Ibrahim, S.T., M.T.</v>
      </c>
      <c r="H227" s="62" t="s">
        <v>883</v>
      </c>
      <c r="J227" s="5"/>
    </row>
    <row r="228" spans="1:10" ht="57.6" x14ac:dyDescent="0.3">
      <c r="A228" s="5" t="s">
        <v>683</v>
      </c>
      <c r="B228" s="51" t="s">
        <v>248</v>
      </c>
      <c r="C228" s="43" t="s">
        <v>583</v>
      </c>
      <c r="D228" s="44" t="s">
        <v>773</v>
      </c>
      <c r="E228" s="43">
        <v>3</v>
      </c>
      <c r="F228" s="5" t="s">
        <v>185</v>
      </c>
      <c r="G228" s="5"/>
      <c r="H228" s="62" t="s">
        <v>883</v>
      </c>
      <c r="J228" s="5"/>
    </row>
    <row r="229" spans="1:10" ht="57.6" x14ac:dyDescent="0.3">
      <c r="A229" s="5" t="s">
        <v>683</v>
      </c>
      <c r="B229" s="51" t="s">
        <v>248</v>
      </c>
      <c r="C229" s="43" t="s">
        <v>587</v>
      </c>
      <c r="D229" s="44" t="s">
        <v>588</v>
      </c>
      <c r="E229" s="43">
        <v>3</v>
      </c>
      <c r="F229" s="5" t="s">
        <v>115</v>
      </c>
      <c r="G229" s="5" t="str">
        <f>VLOOKUP('[2]Beban Mengajar'!F229,[2]Dosen!A:B,2)</f>
        <v>Muhammad Faisal Ibrahim, S.T., M.T.</v>
      </c>
      <c r="H229" s="62" t="s">
        <v>883</v>
      </c>
      <c r="J229" s="5"/>
    </row>
    <row r="230" spans="1:10" ht="57.6" x14ac:dyDescent="0.3">
      <c r="A230" s="5" t="s">
        <v>683</v>
      </c>
      <c r="B230" s="51" t="s">
        <v>657</v>
      </c>
      <c r="C230" s="43" t="s">
        <v>774</v>
      </c>
      <c r="D230" s="44" t="s">
        <v>336</v>
      </c>
      <c r="E230" s="43">
        <v>2</v>
      </c>
      <c r="F230" s="5" t="s">
        <v>136</v>
      </c>
      <c r="G230" s="5" t="str">
        <f>VLOOKUP('[2]Beban Mengajar'!F230,[2]Dosen!A:B,2)</f>
        <v>Oki Anita Candra Dewi, S.T., M.T.</v>
      </c>
      <c r="H230" s="62" t="s">
        <v>884</v>
      </c>
      <c r="J230" s="5"/>
    </row>
    <row r="231" spans="1:10" ht="57.6" x14ac:dyDescent="0.3">
      <c r="A231" s="5" t="s">
        <v>683</v>
      </c>
      <c r="B231" s="51" t="s">
        <v>656</v>
      </c>
      <c r="C231" s="43" t="s">
        <v>591</v>
      </c>
      <c r="D231" s="44" t="s">
        <v>592</v>
      </c>
      <c r="E231" s="43" t="s">
        <v>880</v>
      </c>
      <c r="F231" s="5" t="s">
        <v>136</v>
      </c>
      <c r="G231" s="5" t="str">
        <f>VLOOKUP('[2]Beban Mengajar'!F231,[2]Dosen!A:B,2)</f>
        <v>Oki Anita Candra Dewi, S.T., M.T.</v>
      </c>
      <c r="H231" s="62" t="s">
        <v>884</v>
      </c>
      <c r="J231" s="5"/>
    </row>
    <row r="232" spans="1:10" x14ac:dyDescent="0.3">
      <c r="A232" s="5" t="s">
        <v>671</v>
      </c>
      <c r="B232" s="51" t="s">
        <v>236</v>
      </c>
      <c r="C232" s="63" t="s">
        <v>308</v>
      </c>
      <c r="D232" s="35" t="s">
        <v>697</v>
      </c>
      <c r="E232" s="63">
        <v>2</v>
      </c>
      <c r="F232" s="64" t="s">
        <v>668</v>
      </c>
      <c r="G232" s="5"/>
      <c r="I232">
        <v>50</v>
      </c>
      <c r="J232" s="5"/>
    </row>
    <row r="233" spans="1:10" x14ac:dyDescent="0.3">
      <c r="A233" s="5" t="s">
        <v>671</v>
      </c>
      <c r="B233" s="51" t="s">
        <v>236</v>
      </c>
      <c r="C233" s="63" t="s">
        <v>454</v>
      </c>
      <c r="D233" s="65" t="s">
        <v>536</v>
      </c>
      <c r="E233" s="63">
        <v>3</v>
      </c>
      <c r="F233" s="64" t="s">
        <v>189</v>
      </c>
      <c r="G233" s="5" t="str">
        <f>VLOOKUP('[2]Beban Mengajar'!F233,[2]Dosen!A:B,2)</f>
        <v>Yuni Kurniati, S.T., M.T.</v>
      </c>
      <c r="H233" t="s">
        <v>131</v>
      </c>
      <c r="J233" s="5"/>
    </row>
    <row r="234" spans="1:10" x14ac:dyDescent="0.3">
      <c r="A234" s="5" t="s">
        <v>671</v>
      </c>
      <c r="B234" s="51" t="s">
        <v>236</v>
      </c>
      <c r="C234" s="63" t="s">
        <v>453</v>
      </c>
      <c r="D234" s="65" t="s">
        <v>781</v>
      </c>
      <c r="E234" s="63">
        <v>3</v>
      </c>
      <c r="F234" s="64" t="s">
        <v>41</v>
      </c>
      <c r="G234" s="5" t="str">
        <f>VLOOKUP('[2]Beban Mengajar'!F234,[2]Dosen!A:B,2)</f>
        <v>Fandi Angga Prasetya, S.Si., M.Si</v>
      </c>
      <c r="J234" s="5"/>
    </row>
    <row r="235" spans="1:10" x14ac:dyDescent="0.3">
      <c r="A235" s="5" t="s">
        <v>671</v>
      </c>
      <c r="B235" s="51" t="s">
        <v>236</v>
      </c>
      <c r="C235" s="63" t="s">
        <v>352</v>
      </c>
      <c r="D235" s="55" t="s">
        <v>868</v>
      </c>
      <c r="E235" s="63">
        <v>2</v>
      </c>
      <c r="F235" s="64" t="s">
        <v>54</v>
      </c>
      <c r="G235" s="5" t="str">
        <f>VLOOKUP('[2]Beban Mengajar'!F235,[2]Dosen!A:B,2)</f>
        <v>Izzati Winda Murti, S.T., M.T.</v>
      </c>
      <c r="I235">
        <v>50</v>
      </c>
      <c r="J235" s="5"/>
    </row>
    <row r="236" spans="1:10" x14ac:dyDescent="0.3">
      <c r="A236" s="5" t="s">
        <v>671</v>
      </c>
      <c r="B236" s="51" t="s">
        <v>236</v>
      </c>
      <c r="C236" s="63" t="s">
        <v>534</v>
      </c>
      <c r="D236" s="65" t="s">
        <v>535</v>
      </c>
      <c r="E236" s="63">
        <v>2</v>
      </c>
      <c r="F236" s="64" t="s">
        <v>20</v>
      </c>
      <c r="G236" s="5" t="str">
        <f>VLOOKUP('[2]Beban Mengajar'!F236,[2]Dosen!A:B,2)</f>
        <v>Ani Rahmat</v>
      </c>
      <c r="J236" s="5"/>
    </row>
    <row r="237" spans="1:10" x14ac:dyDescent="0.3">
      <c r="A237" s="5" t="s">
        <v>671</v>
      </c>
      <c r="B237" s="51" t="s">
        <v>236</v>
      </c>
      <c r="C237" s="63" t="s">
        <v>547</v>
      </c>
      <c r="D237" s="65" t="s">
        <v>548</v>
      </c>
      <c r="E237" s="63">
        <v>3</v>
      </c>
      <c r="F237" s="64" t="s">
        <v>138</v>
      </c>
      <c r="G237" s="5" t="str">
        <f>VLOOKUP('[2]Beban Mengajar'!F237,[2]Dosen!A:B,2)</f>
        <v>Okky Putri Prastuti, S.T., M.T.</v>
      </c>
      <c r="J237" s="5"/>
    </row>
    <row r="238" spans="1:10" x14ac:dyDescent="0.3">
      <c r="A238" s="5" t="s">
        <v>671</v>
      </c>
      <c r="B238" s="51" t="s">
        <v>236</v>
      </c>
      <c r="C238" s="63" t="s">
        <v>457</v>
      </c>
      <c r="D238" s="65" t="s">
        <v>782</v>
      </c>
      <c r="E238" s="63">
        <v>3</v>
      </c>
      <c r="F238" s="64" t="s">
        <v>189</v>
      </c>
      <c r="G238" s="5" t="str">
        <f>VLOOKUP('[2]Beban Mengajar'!F238,[2]Dosen!A:B,2)</f>
        <v>Yuni Kurniati, S.T., M.T.</v>
      </c>
      <c r="J238" s="5"/>
    </row>
    <row r="239" spans="1:10" x14ac:dyDescent="0.3">
      <c r="A239" s="5" t="s">
        <v>671</v>
      </c>
      <c r="B239" s="51" t="s">
        <v>238</v>
      </c>
      <c r="C239" s="63" t="s">
        <v>543</v>
      </c>
      <c r="D239" s="65" t="s">
        <v>544</v>
      </c>
      <c r="E239" s="63">
        <v>3</v>
      </c>
      <c r="F239" s="64" t="s">
        <v>189</v>
      </c>
      <c r="G239" s="5" t="str">
        <f>VLOOKUP('[2]Beban Mengajar'!F239,[2]Dosen!A:B,2)</f>
        <v>Yuni Kurniati, S.T., M.T.</v>
      </c>
      <c r="J239" s="5"/>
    </row>
    <row r="240" spans="1:10" x14ac:dyDescent="0.3">
      <c r="A240" s="5" t="s">
        <v>671</v>
      </c>
      <c r="B240" s="51" t="s">
        <v>238</v>
      </c>
      <c r="C240" s="63" t="s">
        <v>538</v>
      </c>
      <c r="D240" s="65" t="s">
        <v>783</v>
      </c>
      <c r="E240" s="63">
        <v>3</v>
      </c>
      <c r="F240" s="64" t="s">
        <v>41</v>
      </c>
      <c r="G240" s="5" t="str">
        <f>VLOOKUP('[2]Beban Mengajar'!F240,[2]Dosen!A:B,2)</f>
        <v>Fandi Angga Prasetya, S.Si., M.Si</v>
      </c>
      <c r="J240" s="5"/>
    </row>
    <row r="241" spans="1:10" x14ac:dyDescent="0.3">
      <c r="A241" s="5" t="s">
        <v>671</v>
      </c>
      <c r="B241" s="51" t="s">
        <v>238</v>
      </c>
      <c r="C241" s="63" t="s">
        <v>551</v>
      </c>
      <c r="D241" s="65" t="s">
        <v>552</v>
      </c>
      <c r="E241" s="63">
        <v>3</v>
      </c>
      <c r="F241" s="64" t="s">
        <v>38</v>
      </c>
      <c r="G241" s="5" t="str">
        <f>VLOOKUP('[2]Beban Mengajar'!F241,[2]Dosen!A:B,2)</f>
        <v>Eka Lutfi Septiani, S.T., M.T.</v>
      </c>
      <c r="J241" s="5"/>
    </row>
    <row r="242" spans="1:10" x14ac:dyDescent="0.3">
      <c r="A242" s="5" t="s">
        <v>671</v>
      </c>
      <c r="B242" s="51" t="s">
        <v>238</v>
      </c>
      <c r="C242" s="63" t="s">
        <v>559</v>
      </c>
      <c r="D242" s="65" t="s">
        <v>560</v>
      </c>
      <c r="E242" s="63">
        <v>3</v>
      </c>
      <c r="F242" s="64" t="s">
        <v>121</v>
      </c>
      <c r="G242" s="5" t="str">
        <f>VLOOKUP('[2]Beban Mengajar'!F242,[2]Dosen!A:B,2)</f>
        <v>Mala Hayati Nasution, S.T., M.T</v>
      </c>
      <c r="J242" s="5"/>
    </row>
    <row r="243" spans="1:10" x14ac:dyDescent="0.3">
      <c r="A243" s="5" t="s">
        <v>671</v>
      </c>
      <c r="B243" s="51" t="s">
        <v>238</v>
      </c>
      <c r="C243" s="63" t="s">
        <v>528</v>
      </c>
      <c r="D243" s="65" t="s">
        <v>529</v>
      </c>
      <c r="E243" s="63">
        <v>3</v>
      </c>
      <c r="F243" s="64" t="s">
        <v>189</v>
      </c>
      <c r="G243" s="5" t="str">
        <f>VLOOKUP('[2]Beban Mengajar'!F243,[2]Dosen!A:B,2)</f>
        <v>Yuni Kurniati, S.T., M.T.</v>
      </c>
      <c r="J243" s="5"/>
    </row>
    <row r="244" spans="1:10" ht="15" customHeight="1" x14ac:dyDescent="0.3">
      <c r="A244" s="5" t="s">
        <v>671</v>
      </c>
      <c r="B244" s="51" t="s">
        <v>238</v>
      </c>
      <c r="C244" s="63" t="s">
        <v>539</v>
      </c>
      <c r="D244" s="65" t="s">
        <v>784</v>
      </c>
      <c r="E244" s="63">
        <v>3</v>
      </c>
      <c r="F244" s="64" t="s">
        <v>885</v>
      </c>
      <c r="G244" s="5"/>
      <c r="J244" s="5"/>
    </row>
    <row r="245" spans="1:10" x14ac:dyDescent="0.3">
      <c r="A245" s="5" t="s">
        <v>671</v>
      </c>
      <c r="B245" s="51" t="s">
        <v>240</v>
      </c>
      <c r="C245" s="63" t="s">
        <v>537</v>
      </c>
      <c r="D245" s="65" t="s">
        <v>329</v>
      </c>
      <c r="E245" s="63">
        <v>3</v>
      </c>
      <c r="F245" s="64" t="s">
        <v>20</v>
      </c>
      <c r="G245" s="5" t="str">
        <f>VLOOKUP('[2]Beban Mengajar'!F245,[2]Dosen!A:B,2)</f>
        <v>Ani Rahmat</v>
      </c>
      <c r="J245" s="5"/>
    </row>
    <row r="246" spans="1:10" x14ac:dyDescent="0.3">
      <c r="A246" s="5" t="s">
        <v>671</v>
      </c>
      <c r="B246" s="51" t="s">
        <v>240</v>
      </c>
      <c r="C246" s="63" t="s">
        <v>540</v>
      </c>
      <c r="D246" s="65" t="s">
        <v>785</v>
      </c>
      <c r="E246" s="63">
        <v>3</v>
      </c>
      <c r="F246" s="64" t="s">
        <v>38</v>
      </c>
      <c r="G246" s="5" t="str">
        <f>VLOOKUP('[2]Beban Mengajar'!F246,[2]Dosen!A:B,2)</f>
        <v>Eka Lutfi Septiani, S.T., M.T.</v>
      </c>
      <c r="J246" s="5"/>
    </row>
    <row r="247" spans="1:10" x14ac:dyDescent="0.3">
      <c r="A247" s="5" t="s">
        <v>671</v>
      </c>
      <c r="B247" s="51" t="s">
        <v>240</v>
      </c>
      <c r="C247" s="63" t="s">
        <v>545</v>
      </c>
      <c r="D247" s="65" t="s">
        <v>546</v>
      </c>
      <c r="E247" s="63">
        <v>3</v>
      </c>
      <c r="F247" s="64" t="s">
        <v>138</v>
      </c>
      <c r="G247" s="5" t="str">
        <f>VLOOKUP('[2]Beban Mengajar'!F247,[2]Dosen!A:B,2)</f>
        <v>Okky Putri Prastuti, S.T., M.T.</v>
      </c>
      <c r="J247" s="5"/>
    </row>
    <row r="248" spans="1:10" x14ac:dyDescent="0.3">
      <c r="A248" s="5" t="s">
        <v>671</v>
      </c>
      <c r="B248" s="51" t="s">
        <v>240</v>
      </c>
      <c r="C248" s="63" t="s">
        <v>450</v>
      </c>
      <c r="D248" s="65" t="s">
        <v>451</v>
      </c>
      <c r="E248" s="63">
        <v>3</v>
      </c>
      <c r="F248" s="64" t="s">
        <v>138</v>
      </c>
      <c r="G248" s="5" t="str">
        <f>VLOOKUP('[2]Beban Mengajar'!F248,[2]Dosen!A:B,2)</f>
        <v>Okky Putri Prastuti, S.T., M.T.</v>
      </c>
      <c r="J248" s="5"/>
    </row>
    <row r="249" spans="1:10" x14ac:dyDescent="0.3">
      <c r="A249" s="5" t="s">
        <v>671</v>
      </c>
      <c r="B249" s="51" t="s">
        <v>240</v>
      </c>
      <c r="C249" s="63" t="s">
        <v>555</v>
      </c>
      <c r="D249" s="65" t="s">
        <v>556</v>
      </c>
      <c r="E249" s="63">
        <v>2</v>
      </c>
      <c r="F249" s="64" t="s">
        <v>885</v>
      </c>
      <c r="G249" s="5"/>
      <c r="J249" s="5"/>
    </row>
    <row r="250" spans="1:10" x14ac:dyDescent="0.3">
      <c r="A250" s="5" t="s">
        <v>671</v>
      </c>
      <c r="B250" s="51" t="s">
        <v>240</v>
      </c>
      <c r="C250" s="63" t="s">
        <v>557</v>
      </c>
      <c r="D250" s="65" t="s">
        <v>558</v>
      </c>
      <c r="E250" s="63">
        <v>3</v>
      </c>
      <c r="F250" s="64" t="s">
        <v>121</v>
      </c>
      <c r="G250" s="5" t="str">
        <f>VLOOKUP('[2]Beban Mengajar'!F250,[2]Dosen!A:B,2)</f>
        <v>Mala Hayati Nasution, S.T., M.T</v>
      </c>
      <c r="J250" s="5"/>
    </row>
    <row r="251" spans="1:10" ht="15" customHeight="1" x14ac:dyDescent="0.3">
      <c r="A251" s="5" t="s">
        <v>671</v>
      </c>
      <c r="B251" s="51" t="s">
        <v>240</v>
      </c>
      <c r="C251" s="63" t="s">
        <v>541</v>
      </c>
      <c r="D251" s="65" t="s">
        <v>542</v>
      </c>
      <c r="E251" s="63">
        <v>2</v>
      </c>
      <c r="F251" s="64" t="s">
        <v>189</v>
      </c>
      <c r="G251" s="5" t="str">
        <f>VLOOKUP('[2]Beban Mengajar'!F251,[2]Dosen!A:B,2)</f>
        <v>Yuni Kurniati, S.T., M.T.</v>
      </c>
      <c r="J251" s="5"/>
    </row>
    <row r="252" spans="1:10" x14ac:dyDescent="0.3">
      <c r="A252" s="5" t="s">
        <v>671</v>
      </c>
      <c r="B252" s="51" t="s">
        <v>241</v>
      </c>
      <c r="C252" s="63" t="s">
        <v>537</v>
      </c>
      <c r="D252" s="65" t="s">
        <v>329</v>
      </c>
      <c r="E252" s="63">
        <v>3</v>
      </c>
      <c r="F252" s="64" t="s">
        <v>148</v>
      </c>
      <c r="G252" s="5" t="str">
        <f>VLOOKUP('[2]Beban Mengajar'!F252,[2]Dosen!A:B,2)</f>
        <v>Ruktin Handayani, S.Kom., M.Kom.</v>
      </c>
      <c r="J252" s="5"/>
    </row>
    <row r="253" spans="1:10" x14ac:dyDescent="0.3">
      <c r="A253" s="5" t="s">
        <v>671</v>
      </c>
      <c r="B253" s="51" t="s">
        <v>241</v>
      </c>
      <c r="C253" s="63" t="s">
        <v>540</v>
      </c>
      <c r="D253" s="65" t="s">
        <v>785</v>
      </c>
      <c r="E253" s="63">
        <v>3</v>
      </c>
      <c r="F253" s="64" t="s">
        <v>20</v>
      </c>
      <c r="G253" s="5" t="str">
        <f>VLOOKUP('[2]Beban Mengajar'!F253,[2]Dosen!A:B,2)</f>
        <v>Ani Rahmat</v>
      </c>
      <c r="J253" s="5"/>
    </row>
    <row r="254" spans="1:10" x14ac:dyDescent="0.3">
      <c r="A254" s="5" t="s">
        <v>671</v>
      </c>
      <c r="B254" s="51" t="s">
        <v>241</v>
      </c>
      <c r="C254" s="63" t="s">
        <v>545</v>
      </c>
      <c r="D254" s="65" t="s">
        <v>546</v>
      </c>
      <c r="E254" s="63">
        <v>3</v>
      </c>
      <c r="F254" s="64" t="s">
        <v>886</v>
      </c>
      <c r="G254" s="5" t="str">
        <f>VLOOKUP('[2]Beban Mengajar'!F254,[2]Dosen!A:B,2)</f>
        <v>Anindita Adikaputri Vinaya, S.T., M.T.</v>
      </c>
      <c r="J254" s="5"/>
    </row>
    <row r="255" spans="1:10" x14ac:dyDescent="0.3">
      <c r="A255" s="5" t="s">
        <v>671</v>
      </c>
      <c r="B255" s="51" t="s">
        <v>241</v>
      </c>
      <c r="C255" s="63" t="s">
        <v>450</v>
      </c>
      <c r="D255" s="65" t="s">
        <v>451</v>
      </c>
      <c r="E255" s="63">
        <v>3</v>
      </c>
      <c r="F255" s="64" t="s">
        <v>121</v>
      </c>
      <c r="G255" s="5" t="str">
        <f>VLOOKUP('[2]Beban Mengajar'!F255,[2]Dosen!A:B,2)</f>
        <v>Mala Hayati Nasution, S.T., M.T</v>
      </c>
      <c r="J255" s="5"/>
    </row>
    <row r="256" spans="1:10" x14ac:dyDescent="0.3">
      <c r="A256" s="5" t="s">
        <v>671</v>
      </c>
      <c r="B256" s="51" t="s">
        <v>241</v>
      </c>
      <c r="C256" s="63" t="s">
        <v>557</v>
      </c>
      <c r="D256" s="65" t="s">
        <v>558</v>
      </c>
      <c r="E256" s="63">
        <v>3</v>
      </c>
      <c r="F256" s="5" t="s">
        <v>886</v>
      </c>
      <c r="G256" s="5"/>
      <c r="H256" s="66" t="s">
        <v>886</v>
      </c>
      <c r="J256" s="5"/>
    </row>
    <row r="257" spans="1:10" x14ac:dyDescent="0.3">
      <c r="A257" s="5" t="s">
        <v>671</v>
      </c>
      <c r="B257" s="51" t="s">
        <v>241</v>
      </c>
      <c r="C257" s="63" t="s">
        <v>541</v>
      </c>
      <c r="D257" s="65" t="s">
        <v>542</v>
      </c>
      <c r="E257" s="63">
        <v>2</v>
      </c>
      <c r="F257" s="64" t="s">
        <v>38</v>
      </c>
      <c r="G257" s="5" t="str">
        <f>VLOOKUP('[2]Beban Mengajar'!F257,[2]Dosen!A:B,2)</f>
        <v>Eka Lutfi Septiani, S.T., M.T.</v>
      </c>
      <c r="J257" s="5"/>
    </row>
    <row r="258" spans="1:10" x14ac:dyDescent="0.3">
      <c r="A258" s="5" t="s">
        <v>671</v>
      </c>
      <c r="B258" s="51" t="s">
        <v>654</v>
      </c>
      <c r="C258" s="63" t="s">
        <v>527</v>
      </c>
      <c r="D258" s="65" t="s">
        <v>417</v>
      </c>
      <c r="E258" s="63">
        <v>2</v>
      </c>
      <c r="F258" s="5"/>
      <c r="G258" s="5"/>
      <c r="H258" s="66" t="s">
        <v>668</v>
      </c>
      <c r="J258" s="5"/>
    </row>
    <row r="259" spans="1:10" ht="15" customHeight="1" x14ac:dyDescent="0.3">
      <c r="A259" s="5" t="s">
        <v>671</v>
      </c>
      <c r="B259" s="51" t="s">
        <v>654</v>
      </c>
      <c r="C259" s="63" t="s">
        <v>532</v>
      </c>
      <c r="D259" s="65" t="s">
        <v>533</v>
      </c>
      <c r="E259" s="63">
        <v>3</v>
      </c>
      <c r="F259" s="64" t="s">
        <v>38</v>
      </c>
      <c r="G259" s="5" t="str">
        <f>VLOOKUP('[2]Beban Mengajar'!F259,[2]Dosen!A:B,2)</f>
        <v>Eka Lutfi Septiani, S.T., M.T.</v>
      </c>
      <c r="J259" s="5"/>
    </row>
    <row r="260" spans="1:10" x14ac:dyDescent="0.3">
      <c r="A260" s="5" t="s">
        <v>671</v>
      </c>
      <c r="B260" s="51" t="s">
        <v>654</v>
      </c>
      <c r="C260" s="63" t="s">
        <v>549</v>
      </c>
      <c r="D260" s="65" t="s">
        <v>887</v>
      </c>
      <c r="E260" s="63">
        <v>3</v>
      </c>
      <c r="F260" s="64" t="s">
        <v>41</v>
      </c>
      <c r="G260" s="5" t="str">
        <f>VLOOKUP('[2]Beban Mengajar'!F260,[2]Dosen!A:B,2)</f>
        <v>Fandi Angga Prasetya, S.Si., M.Si</v>
      </c>
      <c r="J260" s="5"/>
    </row>
    <row r="261" spans="1:10" x14ac:dyDescent="0.3">
      <c r="A261" s="5" t="s">
        <v>671</v>
      </c>
      <c r="B261" s="51" t="s">
        <v>654</v>
      </c>
      <c r="C261" s="63" t="s">
        <v>550</v>
      </c>
      <c r="D261" s="65" t="s">
        <v>786</v>
      </c>
      <c r="E261" s="63">
        <v>3</v>
      </c>
      <c r="F261" s="64" t="s">
        <v>54</v>
      </c>
      <c r="G261" s="5" t="str">
        <f>VLOOKUP('[2]Beban Mengajar'!F261,[2]Dosen!A:B,2)</f>
        <v>Izzati Winda Murti, S.T., M.T.</v>
      </c>
      <c r="J261" s="5"/>
    </row>
    <row r="262" spans="1:10" x14ac:dyDescent="0.3">
      <c r="A262" s="5" t="s">
        <v>671</v>
      </c>
      <c r="B262" s="51" t="s">
        <v>654</v>
      </c>
      <c r="C262" s="63" t="s">
        <v>530</v>
      </c>
      <c r="D262" s="65" t="s">
        <v>531</v>
      </c>
      <c r="E262" s="63">
        <v>2</v>
      </c>
      <c r="F262" s="64" t="s">
        <v>41</v>
      </c>
      <c r="G262" s="5" t="str">
        <f>VLOOKUP('[2]Beban Mengajar'!F262,[2]Dosen!A:B,2)</f>
        <v>Fandi Angga Prasetya, S.Si., M.Si</v>
      </c>
      <c r="J262" s="5"/>
    </row>
    <row r="263" spans="1:10" x14ac:dyDescent="0.3">
      <c r="A263" s="5" t="s">
        <v>671</v>
      </c>
      <c r="B263" s="51" t="s">
        <v>654</v>
      </c>
      <c r="C263" s="63" t="s">
        <v>553</v>
      </c>
      <c r="D263" s="65" t="s">
        <v>554</v>
      </c>
      <c r="E263" s="63">
        <v>2</v>
      </c>
      <c r="F263" s="64" t="s">
        <v>20</v>
      </c>
      <c r="G263" s="5" t="str">
        <f>VLOOKUP('[2]Beban Mengajar'!F263,[2]Dosen!A:B,2)</f>
        <v>Ani Rahmat</v>
      </c>
      <c r="J263" s="5"/>
    </row>
    <row r="264" spans="1:10" x14ac:dyDescent="0.3">
      <c r="A264" s="5" t="s">
        <v>671</v>
      </c>
      <c r="B264" s="51" t="s">
        <v>654</v>
      </c>
      <c r="C264" s="63" t="s">
        <v>561</v>
      </c>
      <c r="D264" s="65" t="s">
        <v>562</v>
      </c>
      <c r="E264" s="63">
        <v>4</v>
      </c>
      <c r="F264" s="64" t="s">
        <v>121</v>
      </c>
      <c r="G264" s="5" t="str">
        <f>VLOOKUP('[2]Beban Mengajar'!F264,[2]Dosen!A:B,2)</f>
        <v>Mala Hayati Nasution, S.T., M.T</v>
      </c>
      <c r="J264" s="5"/>
    </row>
    <row r="265" spans="1:10" x14ac:dyDescent="0.3">
      <c r="A265" s="5" t="s">
        <v>671</v>
      </c>
      <c r="B265" s="5" t="s">
        <v>655</v>
      </c>
      <c r="C265" s="63" t="s">
        <v>527</v>
      </c>
      <c r="D265" s="65" t="s">
        <v>417</v>
      </c>
      <c r="E265" s="63">
        <v>2</v>
      </c>
      <c r="F265" s="5"/>
      <c r="G265" s="5"/>
      <c r="H265" s="66" t="s">
        <v>668</v>
      </c>
      <c r="J265" s="5"/>
    </row>
    <row r="266" spans="1:10" x14ac:dyDescent="0.3">
      <c r="A266" s="5" t="s">
        <v>671</v>
      </c>
      <c r="B266" s="5" t="s">
        <v>655</v>
      </c>
      <c r="C266" s="63" t="s">
        <v>561</v>
      </c>
      <c r="D266" s="65" t="s">
        <v>562</v>
      </c>
      <c r="E266" s="63">
        <v>4</v>
      </c>
      <c r="F266" s="64" t="s">
        <v>138</v>
      </c>
      <c r="G266" s="5" t="str">
        <f>VLOOKUP('[2]Beban Mengajar'!F266,[2]Dosen!A:B,2)</f>
        <v>Okky Putri Prastuti, S.T., M.T.</v>
      </c>
      <c r="J266" s="5"/>
    </row>
    <row r="267" spans="1:10" x14ac:dyDescent="0.3">
      <c r="A267" s="5" t="s">
        <v>888</v>
      </c>
      <c r="B267" s="67" t="s">
        <v>252</v>
      </c>
      <c r="C267" s="45" t="s">
        <v>322</v>
      </c>
      <c r="D267" s="5" t="s">
        <v>323</v>
      </c>
      <c r="E267" s="2">
        <v>2</v>
      </c>
      <c r="F267" s="5"/>
      <c r="G267" s="5"/>
      <c r="I267">
        <v>35</v>
      </c>
      <c r="J267" s="5"/>
    </row>
    <row r="268" spans="1:10" ht="15" customHeight="1" x14ac:dyDescent="0.3">
      <c r="A268" s="5" t="s">
        <v>888</v>
      </c>
      <c r="B268" s="67" t="s">
        <v>252</v>
      </c>
      <c r="C268" s="46" t="s">
        <v>453</v>
      </c>
      <c r="D268" s="5" t="s">
        <v>606</v>
      </c>
      <c r="E268" s="2">
        <v>3</v>
      </c>
      <c r="F268" s="5" t="s">
        <v>34</v>
      </c>
      <c r="G268" s="5" t="str">
        <f>VLOOKUP('[2]Beban Mengajar'!F268,[2]Dosen!A:B,2)</f>
        <v>Elita Fidiya Nugrahani, S.T., M.Eng., M.T.</v>
      </c>
      <c r="J268" s="5"/>
    </row>
    <row r="269" spans="1:10" x14ac:dyDescent="0.3">
      <c r="A269" s="5" t="s">
        <v>888</v>
      </c>
      <c r="B269" s="67" t="s">
        <v>252</v>
      </c>
      <c r="C269" s="47" t="s">
        <v>454</v>
      </c>
      <c r="D269" s="5" t="s">
        <v>455</v>
      </c>
      <c r="E269" s="2">
        <v>3</v>
      </c>
      <c r="F269" s="5" t="s">
        <v>166</v>
      </c>
      <c r="G269" s="5"/>
      <c r="H269" t="s">
        <v>889</v>
      </c>
      <c r="J269" s="5"/>
    </row>
    <row r="270" spans="1:10" x14ac:dyDescent="0.3">
      <c r="A270" s="5" t="s">
        <v>888</v>
      </c>
      <c r="B270" s="67" t="s">
        <v>252</v>
      </c>
      <c r="C270" s="2" t="s">
        <v>620</v>
      </c>
      <c r="D270" s="5" t="s">
        <v>621</v>
      </c>
      <c r="E270" s="2">
        <v>2</v>
      </c>
      <c r="F270" s="5" t="s">
        <v>40</v>
      </c>
      <c r="G270" s="5" t="str">
        <f>VLOOKUP('[2]Beban Mengajar'!F270,[2]Dosen!A:B,2)</f>
        <v>Elsi Mersilia Hanesti, S.EI., M.SE</v>
      </c>
      <c r="J270" s="5"/>
    </row>
    <row r="271" spans="1:10" x14ac:dyDescent="0.3">
      <c r="A271" s="5" t="s">
        <v>888</v>
      </c>
      <c r="B271" s="67" t="s">
        <v>252</v>
      </c>
      <c r="C271" s="2" t="s">
        <v>607</v>
      </c>
      <c r="D271" s="5" t="s">
        <v>458</v>
      </c>
      <c r="E271" s="2">
        <v>3</v>
      </c>
      <c r="F271" s="5" t="s">
        <v>195</v>
      </c>
      <c r="G271" s="5" t="str">
        <f>VLOOKUP('[2]Beban Mengajar'!F271,[2]Dosen!A:B,2)</f>
        <v>Yunita Siti Mardhiyyah</v>
      </c>
      <c r="J271" s="5"/>
    </row>
    <row r="272" spans="1:10" x14ac:dyDescent="0.3">
      <c r="A272" s="5" t="s">
        <v>888</v>
      </c>
      <c r="B272" s="67" t="s">
        <v>252</v>
      </c>
      <c r="C272" s="2" t="s">
        <v>618</v>
      </c>
      <c r="D272" s="5" t="s">
        <v>619</v>
      </c>
      <c r="E272" s="2">
        <v>3</v>
      </c>
      <c r="F272" s="5" t="s">
        <v>2</v>
      </c>
      <c r="G272" s="5" t="str">
        <f>VLOOKUP('[2]Beban Mengajar'!F272,[2]Dosen!A:B,2)</f>
        <v>Azmi Alvian Gabriel, S.TP., M.P.</v>
      </c>
      <c r="J272" s="5"/>
    </row>
    <row r="273" spans="1:10" x14ac:dyDescent="0.3">
      <c r="A273" s="5" t="s">
        <v>888</v>
      </c>
      <c r="B273" s="67" t="s">
        <v>252</v>
      </c>
      <c r="C273" s="2" t="s">
        <v>608</v>
      </c>
      <c r="D273" s="5" t="s">
        <v>504</v>
      </c>
      <c r="E273" s="2">
        <v>2</v>
      </c>
      <c r="F273" s="5" t="s">
        <v>187</v>
      </c>
      <c r="G273" s="5"/>
      <c r="H273" t="s">
        <v>890</v>
      </c>
      <c r="J273" s="5"/>
    </row>
    <row r="274" spans="1:10" x14ac:dyDescent="0.3">
      <c r="A274" s="5" t="s">
        <v>888</v>
      </c>
      <c r="B274" s="67" t="s">
        <v>251</v>
      </c>
      <c r="C274" s="46" t="s">
        <v>352</v>
      </c>
      <c r="D274" s="55" t="s">
        <v>868</v>
      </c>
      <c r="E274" s="2">
        <v>2</v>
      </c>
      <c r="F274" s="5" t="s">
        <v>50</v>
      </c>
      <c r="G274" s="5" t="str">
        <f>VLOOKUP('[2]Beban Mengajar'!F274,[2]Dosen!A:B,2)</f>
        <v>Irvan Adhin Cholilie, S.TP., M.P</v>
      </c>
      <c r="I274">
        <v>21</v>
      </c>
      <c r="J274" s="5"/>
    </row>
    <row r="275" spans="1:10" x14ac:dyDescent="0.3">
      <c r="A275" s="5" t="s">
        <v>888</v>
      </c>
      <c r="B275" s="67" t="s">
        <v>251</v>
      </c>
      <c r="C275" s="2" t="s">
        <v>787</v>
      </c>
      <c r="D275" s="5" t="s">
        <v>631</v>
      </c>
      <c r="E275" s="2">
        <v>3</v>
      </c>
      <c r="F275" s="5" t="s">
        <v>142</v>
      </c>
      <c r="G275" s="5" t="str">
        <f>VLOOKUP('[2]Beban Mengajar'!F275,[2]Dosen!A:B,2)</f>
        <v>Paramita Setyaningrum, S.T., M.T.</v>
      </c>
      <c r="J275" s="5"/>
    </row>
    <row r="276" spans="1:10" ht="30" customHeight="1" x14ac:dyDescent="0.3">
      <c r="A276" s="5" t="s">
        <v>888</v>
      </c>
      <c r="B276" s="67" t="s">
        <v>251</v>
      </c>
      <c r="C276" s="2" t="s">
        <v>788</v>
      </c>
      <c r="D276" s="5" t="s">
        <v>644</v>
      </c>
      <c r="E276" s="2">
        <v>3</v>
      </c>
      <c r="F276" s="5" t="s">
        <v>142</v>
      </c>
      <c r="G276" s="5" t="str">
        <f>VLOOKUP('[2]Beban Mengajar'!F276,[2]Dosen!A:B,2)</f>
        <v>Paramita Setyaningrum, S.T., M.T.</v>
      </c>
      <c r="J276" s="5"/>
    </row>
    <row r="277" spans="1:10" x14ac:dyDescent="0.3">
      <c r="A277" s="5" t="s">
        <v>888</v>
      </c>
      <c r="B277" s="67" t="s">
        <v>251</v>
      </c>
      <c r="C277" s="2" t="s">
        <v>789</v>
      </c>
      <c r="D277" s="5" t="s">
        <v>790</v>
      </c>
      <c r="E277" s="2">
        <v>3</v>
      </c>
      <c r="F277" s="5" t="s">
        <v>2</v>
      </c>
      <c r="G277" s="5" t="str">
        <f>VLOOKUP('[2]Beban Mengajar'!F277,[2]Dosen!A:B,2)</f>
        <v>Azmi Alvian Gabriel, S.TP., M.P.</v>
      </c>
      <c r="J277" s="5"/>
    </row>
    <row r="278" spans="1:10" x14ac:dyDescent="0.3">
      <c r="A278" s="5" t="s">
        <v>888</v>
      </c>
      <c r="B278" s="67" t="s">
        <v>251</v>
      </c>
      <c r="C278" s="2" t="s">
        <v>791</v>
      </c>
      <c r="D278" s="5" t="s">
        <v>623</v>
      </c>
      <c r="E278" s="2">
        <v>4</v>
      </c>
      <c r="F278" s="5" t="s">
        <v>2</v>
      </c>
      <c r="G278" s="5" t="str">
        <f>VLOOKUP('[2]Beban Mengajar'!F278,[2]Dosen!A:B,2)</f>
        <v>Azmi Alvian Gabriel, S.TP., M.P.</v>
      </c>
      <c r="J278" s="5"/>
    </row>
    <row r="279" spans="1:10" x14ac:dyDescent="0.3">
      <c r="A279" s="5" t="s">
        <v>888</v>
      </c>
      <c r="B279" s="67" t="s">
        <v>251</v>
      </c>
      <c r="C279" s="2" t="s">
        <v>792</v>
      </c>
      <c r="D279" s="5" t="s">
        <v>633</v>
      </c>
      <c r="E279" s="2">
        <v>3</v>
      </c>
      <c r="F279" s="5" t="s">
        <v>195</v>
      </c>
      <c r="G279" s="5" t="str">
        <f>VLOOKUP('[2]Beban Mengajar'!F279,[2]Dosen!A:B,2)</f>
        <v>Yunita Siti Mardhiyyah</v>
      </c>
      <c r="J279" s="5"/>
    </row>
    <row r="280" spans="1:10" x14ac:dyDescent="0.3">
      <c r="A280" s="5" t="s">
        <v>888</v>
      </c>
      <c r="B280" s="67" t="s">
        <v>250</v>
      </c>
      <c r="C280" s="2" t="s">
        <v>328</v>
      </c>
      <c r="D280" s="5" t="s">
        <v>329</v>
      </c>
      <c r="E280" s="2">
        <v>3</v>
      </c>
      <c r="F280" s="5" t="s">
        <v>20</v>
      </c>
      <c r="G280" s="5" t="str">
        <f>VLOOKUP('[2]Beban Mengajar'!F280,[2]Dosen!A:B,2)</f>
        <v>Ani Rahmat</v>
      </c>
      <c r="J280" s="5"/>
    </row>
    <row r="281" spans="1:10" x14ac:dyDescent="0.3">
      <c r="A281" s="5" t="s">
        <v>888</v>
      </c>
      <c r="B281" s="67" t="s">
        <v>250</v>
      </c>
      <c r="C281" s="2" t="s">
        <v>793</v>
      </c>
      <c r="D281" s="5" t="s">
        <v>794</v>
      </c>
      <c r="E281" s="2">
        <v>3</v>
      </c>
      <c r="F281" s="5" t="s">
        <v>50</v>
      </c>
      <c r="G281" s="5" t="str">
        <f>VLOOKUP('[2]Beban Mengajar'!F281,[2]Dosen!A:B,2)</f>
        <v>Irvan Adhin Cholilie, S.TP., M.P</v>
      </c>
      <c r="J281" s="5"/>
    </row>
    <row r="282" spans="1:10" x14ac:dyDescent="0.3">
      <c r="A282" s="5" t="s">
        <v>888</v>
      </c>
      <c r="B282" s="67" t="s">
        <v>250</v>
      </c>
      <c r="C282" s="2" t="s">
        <v>795</v>
      </c>
      <c r="D282" s="5" t="s">
        <v>796</v>
      </c>
      <c r="E282" s="2">
        <v>3</v>
      </c>
      <c r="F282" s="5" t="s">
        <v>142</v>
      </c>
      <c r="G282" s="5" t="str">
        <f>VLOOKUP('[2]Beban Mengajar'!F282,[2]Dosen!A:B,2)</f>
        <v>Paramita Setyaningrum, S.T., M.T.</v>
      </c>
      <c r="J282" s="5"/>
    </row>
    <row r="283" spans="1:10" x14ac:dyDescent="0.3">
      <c r="A283" s="5" t="s">
        <v>888</v>
      </c>
      <c r="B283" s="67" t="s">
        <v>250</v>
      </c>
      <c r="C283" s="2" t="s">
        <v>797</v>
      </c>
      <c r="D283" s="5" t="s">
        <v>798</v>
      </c>
      <c r="E283" s="2">
        <v>3</v>
      </c>
      <c r="F283" s="5" t="s">
        <v>50</v>
      </c>
      <c r="G283" s="5" t="str">
        <f>VLOOKUP('[2]Beban Mengajar'!F283,[2]Dosen!A:B,2)</f>
        <v>Irvan Adhin Cholilie, S.TP., M.P</v>
      </c>
      <c r="J283" s="5"/>
    </row>
    <row r="284" spans="1:10" x14ac:dyDescent="0.3">
      <c r="A284" s="5" t="s">
        <v>888</v>
      </c>
      <c r="B284" s="67" t="s">
        <v>250</v>
      </c>
      <c r="C284" s="2" t="s">
        <v>799</v>
      </c>
      <c r="D284" s="5" t="s">
        <v>612</v>
      </c>
      <c r="E284" s="2">
        <v>3</v>
      </c>
      <c r="F284" s="5" t="s">
        <v>195</v>
      </c>
      <c r="G284" s="5" t="str">
        <f>VLOOKUP('[2]Beban Mengajar'!F284,[2]Dosen!A:B,2)</f>
        <v>Yunita Siti Mardhiyyah</v>
      </c>
      <c r="J284" s="5"/>
    </row>
    <row r="285" spans="1:10" ht="15" customHeight="1" x14ac:dyDescent="0.3">
      <c r="A285" s="5" t="s">
        <v>888</v>
      </c>
      <c r="B285" s="67" t="s">
        <v>250</v>
      </c>
      <c r="C285" s="2" t="s">
        <v>800</v>
      </c>
      <c r="D285" s="5" t="s">
        <v>451</v>
      </c>
      <c r="E285" s="2">
        <v>3</v>
      </c>
      <c r="F285" s="5" t="s">
        <v>142</v>
      </c>
      <c r="G285" s="5" t="str">
        <f>VLOOKUP('[2]Beban Mengajar'!F285,[2]Dosen!A:B,2)</f>
        <v>Paramita Setyaningrum, S.T., M.T.</v>
      </c>
      <c r="J285" s="5"/>
    </row>
    <row r="286" spans="1:10" x14ac:dyDescent="0.3">
      <c r="A286" s="5" t="s">
        <v>888</v>
      </c>
      <c r="B286" s="67" t="s">
        <v>658</v>
      </c>
      <c r="C286" s="48" t="s">
        <v>801</v>
      </c>
      <c r="D286" s="5" t="s">
        <v>610</v>
      </c>
      <c r="E286" s="2">
        <v>2</v>
      </c>
      <c r="F286" s="5"/>
      <c r="G286" s="5"/>
      <c r="J286" s="5"/>
    </row>
    <row r="287" spans="1:10" x14ac:dyDescent="0.3">
      <c r="A287" s="5" t="s">
        <v>888</v>
      </c>
      <c r="B287" s="67" t="s">
        <v>658</v>
      </c>
      <c r="C287" s="46" t="s">
        <v>527</v>
      </c>
      <c r="D287" s="5" t="s">
        <v>417</v>
      </c>
      <c r="E287" s="2">
        <v>2</v>
      </c>
      <c r="F287" s="5"/>
      <c r="G287" s="5"/>
      <c r="J287" s="5"/>
    </row>
    <row r="288" spans="1:10" x14ac:dyDescent="0.3">
      <c r="A288" s="5" t="s">
        <v>888</v>
      </c>
      <c r="B288" s="67" t="s">
        <v>658</v>
      </c>
      <c r="C288" s="2" t="s">
        <v>802</v>
      </c>
      <c r="D288" s="5" t="s">
        <v>604</v>
      </c>
      <c r="E288" s="2">
        <v>3</v>
      </c>
      <c r="F288" s="5" t="s">
        <v>142</v>
      </c>
      <c r="G288" s="5" t="str">
        <f>VLOOKUP('[2]Beban Mengajar'!F288,[2]Dosen!A:B,2)</f>
        <v>Paramita Setyaningrum, S.T., M.T.</v>
      </c>
      <c r="J288" s="5"/>
    </row>
    <row r="289" spans="1:10" x14ac:dyDescent="0.3">
      <c r="A289" s="5" t="s">
        <v>888</v>
      </c>
      <c r="B289" s="67" t="s">
        <v>658</v>
      </c>
      <c r="C289" s="2" t="s">
        <v>803</v>
      </c>
      <c r="D289" s="5" t="s">
        <v>625</v>
      </c>
      <c r="E289" s="2">
        <v>3</v>
      </c>
      <c r="F289" s="5" t="s">
        <v>2</v>
      </c>
      <c r="G289" s="5" t="str">
        <f>VLOOKUP('[2]Beban Mengajar'!F289,[2]Dosen!A:B,2)</f>
        <v>Azmi Alvian Gabriel, S.TP., M.P.</v>
      </c>
      <c r="J289" s="5"/>
    </row>
    <row r="290" spans="1:10" x14ac:dyDescent="0.3">
      <c r="A290" s="5" t="s">
        <v>888</v>
      </c>
      <c r="B290" s="67" t="s">
        <v>658</v>
      </c>
      <c r="C290" s="2" t="s">
        <v>804</v>
      </c>
      <c r="D290" s="5" t="s">
        <v>409</v>
      </c>
      <c r="E290" s="2">
        <v>2</v>
      </c>
      <c r="F290" s="5" t="s">
        <v>2</v>
      </c>
      <c r="G290" s="5" t="str">
        <f>VLOOKUP('[2]Beban Mengajar'!F290,[2]Dosen!A:B,2)</f>
        <v>Azmi Alvian Gabriel, S.TP., M.P.</v>
      </c>
      <c r="J290" s="5"/>
    </row>
    <row r="291" spans="1:10" x14ac:dyDescent="0.3">
      <c r="A291" s="5" t="s">
        <v>888</v>
      </c>
      <c r="B291" s="67" t="s">
        <v>253</v>
      </c>
      <c r="C291" s="2" t="s">
        <v>805</v>
      </c>
      <c r="D291" s="5" t="s">
        <v>806</v>
      </c>
      <c r="E291" s="2">
        <v>3</v>
      </c>
      <c r="F291" s="5" t="s">
        <v>689</v>
      </c>
      <c r="G291" s="5" t="str">
        <f>VLOOKUP('[2]Beban Mengajar'!F291,[2]Dosen!A:B,2)</f>
        <v>Dyah Satiti</v>
      </c>
      <c r="J291" s="5"/>
    </row>
    <row r="292" spans="1:10" ht="15" customHeight="1" x14ac:dyDescent="0.3">
      <c r="A292" s="5" t="s">
        <v>888</v>
      </c>
      <c r="B292" s="67" t="s">
        <v>253</v>
      </c>
      <c r="C292" s="2" t="s">
        <v>807</v>
      </c>
      <c r="D292" s="5" t="s">
        <v>808</v>
      </c>
      <c r="E292" s="2">
        <v>3</v>
      </c>
      <c r="F292" s="5" t="s">
        <v>689</v>
      </c>
      <c r="G292" s="5" t="str">
        <f>VLOOKUP('[2]Beban Mengajar'!F292,[2]Dosen!A:B,2)</f>
        <v>Dyah Satiti</v>
      </c>
      <c r="J292" s="5"/>
    </row>
    <row r="293" spans="1:10" x14ac:dyDescent="0.3">
      <c r="A293" s="5" t="s">
        <v>888</v>
      </c>
      <c r="B293" s="67" t="s">
        <v>253</v>
      </c>
      <c r="C293" s="2" t="s">
        <v>807</v>
      </c>
      <c r="D293" s="5" t="s">
        <v>809</v>
      </c>
      <c r="E293" s="2">
        <v>3</v>
      </c>
      <c r="F293" s="5" t="s">
        <v>689</v>
      </c>
      <c r="G293" s="5" t="str">
        <f>VLOOKUP('[2]Beban Mengajar'!F293,[2]Dosen!A:B,2)</f>
        <v>Dyah Satiti</v>
      </c>
      <c r="J293" s="5"/>
    </row>
    <row r="294" spans="1:10" x14ac:dyDescent="0.3">
      <c r="A294" s="5" t="s">
        <v>891</v>
      </c>
      <c r="B294" s="20" t="s">
        <v>210</v>
      </c>
      <c r="C294" s="2" t="s">
        <v>308</v>
      </c>
      <c r="D294" s="35" t="s">
        <v>697</v>
      </c>
      <c r="E294" s="2">
        <v>2</v>
      </c>
      <c r="F294" s="5"/>
      <c r="G294" s="5"/>
      <c r="H294" s="54" t="s">
        <v>74</v>
      </c>
      <c r="I294">
        <v>60</v>
      </c>
      <c r="J294" s="5"/>
    </row>
    <row r="295" spans="1:10" x14ac:dyDescent="0.3">
      <c r="A295" s="5" t="s">
        <v>891</v>
      </c>
      <c r="B295" s="20" t="s">
        <v>210</v>
      </c>
      <c r="C295" s="2" t="s">
        <v>503</v>
      </c>
      <c r="D295" s="5" t="s">
        <v>504</v>
      </c>
      <c r="E295" s="2">
        <v>3</v>
      </c>
      <c r="F295" s="5" t="s">
        <v>111</v>
      </c>
      <c r="G295" s="5" t="str">
        <f>VLOOKUP('[2]Beban Mengajar'!F295,[2]Dosen!A:B,2)</f>
        <v>Mohammad Arif Rasyidi, S.Kom., M.Sc.</v>
      </c>
      <c r="H295" s="68" t="s">
        <v>892</v>
      </c>
      <c r="J295" s="5"/>
    </row>
    <row r="296" spans="1:10" x14ac:dyDescent="0.3">
      <c r="A296" s="5" t="s">
        <v>891</v>
      </c>
      <c r="B296" s="20" t="s">
        <v>210</v>
      </c>
      <c r="C296" s="2" t="s">
        <v>511</v>
      </c>
      <c r="D296" s="5" t="s">
        <v>483</v>
      </c>
      <c r="E296" s="2">
        <v>3</v>
      </c>
      <c r="F296" s="5" t="s">
        <v>131</v>
      </c>
      <c r="G296" s="5" t="str">
        <f>VLOOKUP('[2]Beban Mengajar'!F296,[2]Dosen!A:B,2)</f>
        <v>Ngatini</v>
      </c>
      <c r="J296" s="5"/>
    </row>
    <row r="297" spans="1:10" x14ac:dyDescent="0.3">
      <c r="A297" s="5" t="s">
        <v>891</v>
      </c>
      <c r="B297" s="20" t="s">
        <v>210</v>
      </c>
      <c r="C297" s="2" t="s">
        <v>500</v>
      </c>
      <c r="D297" s="5" t="s">
        <v>455</v>
      </c>
      <c r="E297" s="2">
        <v>3</v>
      </c>
      <c r="F297" s="5" t="s">
        <v>140</v>
      </c>
      <c r="G297" s="5" t="str">
        <f>VLOOKUP('[2]Beban Mengajar'!F297,[2]Dosen!A:B,2)</f>
        <v>Puji Andayani, S.Si., M.Si., M.Sc.</v>
      </c>
      <c r="J297" s="5"/>
    </row>
    <row r="298" spans="1:10" x14ac:dyDescent="0.3">
      <c r="A298" s="5" t="s">
        <v>891</v>
      </c>
      <c r="B298" s="20" t="s">
        <v>210</v>
      </c>
      <c r="C298" s="2" t="s">
        <v>515</v>
      </c>
      <c r="D298" s="5" t="s">
        <v>516</v>
      </c>
      <c r="E298" s="2">
        <v>3</v>
      </c>
      <c r="F298" s="5" t="s">
        <v>32</v>
      </c>
      <c r="G298" s="5" t="str">
        <f>VLOOKUP('[2]Beban Mengajar'!F298,[2]Dosen!A:B,2)</f>
        <v>Doni Setio Pambudi, S.Kom. M.Kom</v>
      </c>
      <c r="J298" s="5"/>
    </row>
    <row r="299" spans="1:10" x14ac:dyDescent="0.3">
      <c r="A299" s="5" t="s">
        <v>891</v>
      </c>
      <c r="B299" s="20" t="s">
        <v>210</v>
      </c>
      <c r="C299" s="2" t="s">
        <v>383</v>
      </c>
      <c r="D299" s="5" t="s">
        <v>384</v>
      </c>
      <c r="E299" s="2">
        <v>2</v>
      </c>
      <c r="F299" s="5" t="s">
        <v>148</v>
      </c>
      <c r="G299" s="5" t="str">
        <f>VLOOKUP('[2]Beban Mengajar'!F299,[2]Dosen!A:B,2)</f>
        <v>Ruktin Handayani, S.Kom., M.Kom.</v>
      </c>
      <c r="J299" s="5"/>
    </row>
    <row r="300" spans="1:10" ht="15" customHeight="1" x14ac:dyDescent="0.3">
      <c r="A300" s="5" t="s">
        <v>891</v>
      </c>
      <c r="B300" s="20" t="s">
        <v>210</v>
      </c>
      <c r="C300" s="2" t="s">
        <v>356</v>
      </c>
      <c r="D300" s="35" t="s">
        <v>357</v>
      </c>
      <c r="E300" s="2">
        <v>2</v>
      </c>
      <c r="F300" s="5"/>
      <c r="G300" s="5"/>
      <c r="H300" s="54" t="s">
        <v>668</v>
      </c>
      <c r="I300">
        <v>60</v>
      </c>
      <c r="J300" s="5"/>
    </row>
    <row r="301" spans="1:10" x14ac:dyDescent="0.3">
      <c r="A301" s="5" t="s">
        <v>891</v>
      </c>
      <c r="B301" s="51" t="s">
        <v>212</v>
      </c>
      <c r="C301" s="2" t="s">
        <v>513</v>
      </c>
      <c r="D301" s="5" t="s">
        <v>514</v>
      </c>
      <c r="E301" s="2">
        <v>4</v>
      </c>
      <c r="F301" s="5" t="s">
        <v>103</v>
      </c>
      <c r="G301" s="5" t="str">
        <f>VLOOKUP('[2]Beban Mengajar'!F301,[2]Dosen!A:B,2)</f>
        <v>Lailatul Hidayah, S.Kom., MS.</v>
      </c>
      <c r="H301" s="68" t="s">
        <v>892</v>
      </c>
      <c r="J301" s="5"/>
    </row>
    <row r="302" spans="1:10" x14ac:dyDescent="0.3">
      <c r="A302" s="5" t="s">
        <v>891</v>
      </c>
      <c r="B302" s="51" t="s">
        <v>212</v>
      </c>
      <c r="C302" s="2" t="s">
        <v>512</v>
      </c>
      <c r="D302" s="5" t="s">
        <v>685</v>
      </c>
      <c r="E302" s="2">
        <v>3</v>
      </c>
      <c r="F302" s="5" t="s">
        <v>111</v>
      </c>
      <c r="G302" s="5" t="str">
        <f>VLOOKUP('[2]Beban Mengajar'!F302,[2]Dosen!A:B,2)</f>
        <v>Mohammad Arif Rasyidi, S.Kom., M.Sc.</v>
      </c>
      <c r="H302" s="68" t="s">
        <v>892</v>
      </c>
      <c r="J302" s="5"/>
    </row>
    <row r="303" spans="1:10" x14ac:dyDescent="0.3">
      <c r="A303" s="5" t="s">
        <v>891</v>
      </c>
      <c r="B303" s="51" t="s">
        <v>212</v>
      </c>
      <c r="C303" s="2" t="s">
        <v>523</v>
      </c>
      <c r="D303" s="5" t="s">
        <v>524</v>
      </c>
      <c r="E303" s="2">
        <v>3</v>
      </c>
      <c r="F303" s="5" t="s">
        <v>26</v>
      </c>
      <c r="G303" s="5" t="str">
        <f>VLOOKUP('[2]Beban Mengajar'!F303,[2]Dosen!A:B,2)</f>
        <v>Brina Miftahurrohmah, S.Si., M.Si</v>
      </c>
      <c r="J303" s="5"/>
    </row>
    <row r="304" spans="1:10" x14ac:dyDescent="0.3">
      <c r="A304" s="5" t="s">
        <v>891</v>
      </c>
      <c r="B304" s="51" t="s">
        <v>212</v>
      </c>
      <c r="C304" s="2" t="s">
        <v>519</v>
      </c>
      <c r="D304" s="5" t="s">
        <v>520</v>
      </c>
      <c r="E304" s="2">
        <v>3</v>
      </c>
      <c r="F304" s="5" t="s">
        <v>172</v>
      </c>
      <c r="G304" s="5" t="str">
        <f>VLOOKUP('[2]Beban Mengajar'!F304,[2]Dosen!A:B,2)</f>
        <v>Taufiqotul Bariyah S.Kom., M.IM</v>
      </c>
      <c r="J304" s="5"/>
    </row>
    <row r="305" spans="1:10" x14ac:dyDescent="0.3">
      <c r="A305" s="5" t="s">
        <v>891</v>
      </c>
      <c r="B305" s="51" t="s">
        <v>212</v>
      </c>
      <c r="C305" s="2" t="s">
        <v>496</v>
      </c>
      <c r="D305" s="5" t="s">
        <v>810</v>
      </c>
      <c r="E305" s="2">
        <v>4</v>
      </c>
      <c r="F305" s="5" t="s">
        <v>187</v>
      </c>
      <c r="G305" s="5" t="str">
        <f>VLOOKUP('[2]Beban Mengajar'!F305,[2]Dosen!A:B,2)</f>
        <v>Yohanes Indra Riskajaya, S.Kom., M.Kom</v>
      </c>
      <c r="H305" s="68" t="s">
        <v>892</v>
      </c>
      <c r="J305" s="5"/>
    </row>
    <row r="306" spans="1:10" x14ac:dyDescent="0.3">
      <c r="A306" s="5" t="s">
        <v>891</v>
      </c>
      <c r="B306" s="51" t="s">
        <v>212</v>
      </c>
      <c r="C306" s="2" t="s">
        <v>322</v>
      </c>
      <c r="D306" s="5" t="s">
        <v>323</v>
      </c>
      <c r="E306" s="2">
        <v>2</v>
      </c>
      <c r="F306" s="5"/>
      <c r="G306" s="5"/>
      <c r="H306" s="54" t="s">
        <v>668</v>
      </c>
      <c r="I306">
        <v>51</v>
      </c>
      <c r="J306" s="5"/>
    </row>
    <row r="307" spans="1:10" x14ac:dyDescent="0.3">
      <c r="A307" s="5" t="s">
        <v>891</v>
      </c>
      <c r="B307" s="51" t="s">
        <v>214</v>
      </c>
      <c r="C307" s="2" t="s">
        <v>497</v>
      </c>
      <c r="D307" s="5" t="s">
        <v>498</v>
      </c>
      <c r="E307" s="2">
        <v>3</v>
      </c>
      <c r="F307" s="5" t="s">
        <v>172</v>
      </c>
      <c r="G307" s="5" t="str">
        <f>VLOOKUP('[2]Beban Mengajar'!F307,[2]Dosen!A:B,2)</f>
        <v>Taufiqotul Bariyah S.Kom., M.IM</v>
      </c>
      <c r="J307" s="5"/>
    </row>
    <row r="308" spans="1:10" ht="15" customHeight="1" x14ac:dyDescent="0.3">
      <c r="A308" s="5" t="s">
        <v>891</v>
      </c>
      <c r="B308" s="51" t="s">
        <v>214</v>
      </c>
      <c r="C308" s="2" t="s">
        <v>507</v>
      </c>
      <c r="D308" s="5" t="s">
        <v>508</v>
      </c>
      <c r="E308" s="2">
        <v>3</v>
      </c>
      <c r="F308" s="5" t="s">
        <v>103</v>
      </c>
      <c r="G308" s="5" t="str">
        <f>VLOOKUP('[2]Beban Mengajar'!F308,[2]Dosen!A:B,2)</f>
        <v>Lailatul Hidayah, S.Kom., MS.</v>
      </c>
      <c r="H308" s="68" t="s">
        <v>892</v>
      </c>
      <c r="J308" s="5"/>
    </row>
    <row r="309" spans="1:10" x14ac:dyDescent="0.3">
      <c r="A309" s="5" t="s">
        <v>891</v>
      </c>
      <c r="B309" s="51" t="s">
        <v>214</v>
      </c>
      <c r="C309" s="2" t="s">
        <v>499</v>
      </c>
      <c r="D309" s="5" t="s">
        <v>811</v>
      </c>
      <c r="E309" s="2">
        <v>3</v>
      </c>
      <c r="F309" s="5" t="s">
        <v>32</v>
      </c>
      <c r="G309" s="5" t="str">
        <f>VLOOKUP('[2]Beban Mengajar'!F309,[2]Dosen!A:B,2)</f>
        <v>Doni Setio Pambudi, S.Kom. M.Kom</v>
      </c>
      <c r="J309" s="5"/>
    </row>
    <row r="310" spans="1:10" x14ac:dyDescent="0.3">
      <c r="A310" s="5" t="s">
        <v>891</v>
      </c>
      <c r="B310" s="51" t="s">
        <v>214</v>
      </c>
      <c r="C310" s="2" t="s">
        <v>501</v>
      </c>
      <c r="D310" s="5" t="s">
        <v>812</v>
      </c>
      <c r="E310" s="2">
        <v>3</v>
      </c>
      <c r="F310" s="5" t="s">
        <v>187</v>
      </c>
      <c r="G310" s="5" t="str">
        <f>VLOOKUP('[2]Beban Mengajar'!F310,[2]Dosen!A:B,2)</f>
        <v>Yohanes Indra Riskajaya, S.Kom., M.Kom</v>
      </c>
      <c r="J310" s="5"/>
    </row>
    <row r="311" spans="1:10" x14ac:dyDescent="0.3">
      <c r="A311" s="5" t="s">
        <v>891</v>
      </c>
      <c r="B311" s="51" t="s">
        <v>214</v>
      </c>
      <c r="C311" s="2" t="s">
        <v>509</v>
      </c>
      <c r="D311" s="5" t="s">
        <v>510</v>
      </c>
      <c r="E311" s="2">
        <v>3</v>
      </c>
      <c r="F311" s="5" t="s">
        <v>148</v>
      </c>
      <c r="G311" s="5" t="str">
        <f>VLOOKUP('[2]Beban Mengajar'!F311,[2]Dosen!A:B,2)</f>
        <v>Ruktin Handayani, S.Kom., M.Kom.</v>
      </c>
      <c r="J311" s="5"/>
    </row>
    <row r="312" spans="1:10" x14ac:dyDescent="0.3">
      <c r="A312" s="5" t="s">
        <v>891</v>
      </c>
      <c r="B312" s="51" t="s">
        <v>214</v>
      </c>
      <c r="C312" s="2" t="s">
        <v>505</v>
      </c>
      <c r="D312" s="5" t="s">
        <v>506</v>
      </c>
      <c r="E312" s="2">
        <v>3</v>
      </c>
      <c r="F312" s="5" t="s">
        <v>111</v>
      </c>
      <c r="G312" s="5" t="str">
        <f>VLOOKUP('[2]Beban Mengajar'!F312,[2]Dosen!A:B,2)</f>
        <v>Mohammad Arif Rasyidi, S.Kom., M.Sc.</v>
      </c>
      <c r="H312" s="68" t="s">
        <v>892</v>
      </c>
      <c r="J312" s="5"/>
    </row>
    <row r="313" spans="1:10" x14ac:dyDescent="0.3">
      <c r="A313" s="5" t="s">
        <v>891</v>
      </c>
      <c r="B313" s="51" t="s">
        <v>214</v>
      </c>
      <c r="C313" s="2" t="s">
        <v>527</v>
      </c>
      <c r="D313" s="5" t="s">
        <v>417</v>
      </c>
      <c r="E313" s="2">
        <v>2</v>
      </c>
      <c r="F313" s="5"/>
      <c r="G313" s="5"/>
      <c r="H313" s="54" t="s">
        <v>668</v>
      </c>
      <c r="J313" s="5"/>
    </row>
    <row r="314" spans="1:10" x14ac:dyDescent="0.3">
      <c r="A314" s="5" t="s">
        <v>891</v>
      </c>
      <c r="B314" s="51" t="s">
        <v>650</v>
      </c>
      <c r="C314" s="2" t="s">
        <v>425</v>
      </c>
      <c r="D314" s="5" t="s">
        <v>813</v>
      </c>
      <c r="E314" s="2">
        <v>2</v>
      </c>
      <c r="F314" s="5"/>
      <c r="G314" s="5"/>
      <c r="J314" s="5"/>
    </row>
    <row r="315" spans="1:10" x14ac:dyDescent="0.3">
      <c r="A315" s="5" t="s">
        <v>891</v>
      </c>
      <c r="B315" s="51" t="s">
        <v>650</v>
      </c>
      <c r="C315" s="2" t="s">
        <v>521</v>
      </c>
      <c r="D315" s="5" t="s">
        <v>522</v>
      </c>
      <c r="E315" s="2">
        <v>3</v>
      </c>
      <c r="F315" s="5" t="s">
        <v>172</v>
      </c>
      <c r="G315" s="5" t="str">
        <f>VLOOKUP('[2]Beban Mengajar'!F315,[2]Dosen!A:B,2)</f>
        <v>Taufiqotul Bariyah S.Kom., M.IM</v>
      </c>
      <c r="H315" s="68" t="s">
        <v>893</v>
      </c>
      <c r="J315" s="5"/>
    </row>
    <row r="316" spans="1:10" x14ac:dyDescent="0.3">
      <c r="A316" s="5" t="s">
        <v>891</v>
      </c>
      <c r="B316" s="51" t="s">
        <v>650</v>
      </c>
      <c r="C316" s="2" t="s">
        <v>517</v>
      </c>
      <c r="D316" s="5" t="s">
        <v>518</v>
      </c>
      <c r="E316" s="2">
        <v>3</v>
      </c>
      <c r="F316" s="5" t="s">
        <v>193</v>
      </c>
      <c r="G316" s="5"/>
      <c r="H316" t="s">
        <v>894</v>
      </c>
      <c r="J316" s="5"/>
    </row>
    <row r="317" spans="1:10" x14ac:dyDescent="0.3">
      <c r="A317" s="5" t="s">
        <v>891</v>
      </c>
      <c r="B317" s="20" t="s">
        <v>895</v>
      </c>
      <c r="C317" s="2" t="s">
        <v>814</v>
      </c>
      <c r="D317" s="5" t="s">
        <v>815</v>
      </c>
      <c r="E317" s="2">
        <v>3</v>
      </c>
      <c r="F317" s="5" t="s">
        <v>172</v>
      </c>
      <c r="G317" s="5" t="str">
        <f>VLOOKUP('[2]Beban Mengajar'!F317,[2]Dosen!A:B,2)</f>
        <v>Taufiqotul Bariyah S.Kom., M.IM</v>
      </c>
      <c r="J317" s="5"/>
    </row>
    <row r="318" spans="1:10" x14ac:dyDescent="0.3">
      <c r="A318" s="5" t="s">
        <v>891</v>
      </c>
      <c r="B318" s="20" t="s">
        <v>650</v>
      </c>
      <c r="C318" s="2" t="s">
        <v>816</v>
      </c>
      <c r="D318" s="5" t="s">
        <v>817</v>
      </c>
      <c r="E318" s="2">
        <v>3</v>
      </c>
      <c r="F318" s="5" t="s">
        <v>103</v>
      </c>
      <c r="G318" s="5" t="str">
        <f>VLOOKUP('[2]Beban Mengajar'!F318,[2]Dosen!A:B,2)</f>
        <v>Lailatul Hidayah, S.Kom., MS.</v>
      </c>
      <c r="J318" s="5"/>
    </row>
    <row r="319" spans="1:10" x14ac:dyDescent="0.3">
      <c r="A319" s="5" t="s">
        <v>891</v>
      </c>
      <c r="B319" s="20" t="s">
        <v>650</v>
      </c>
      <c r="C319" s="2" t="s">
        <v>525</v>
      </c>
      <c r="D319" s="5" t="s">
        <v>526</v>
      </c>
      <c r="E319" s="2">
        <v>3</v>
      </c>
      <c r="F319" s="5" t="s">
        <v>32</v>
      </c>
      <c r="G319" s="5" t="str">
        <f>VLOOKUP('[2]Beban Mengajar'!F319,[2]Dosen!A:B,2)</f>
        <v>Doni Setio Pambudi, S.Kom. M.Kom</v>
      </c>
      <c r="J319" s="5"/>
    </row>
    <row r="320" spans="1:10" x14ac:dyDescent="0.3">
      <c r="A320" s="5" t="s">
        <v>891</v>
      </c>
      <c r="B320" s="20" t="s">
        <v>650</v>
      </c>
      <c r="C320" s="2" t="s">
        <v>818</v>
      </c>
      <c r="D320" s="5" t="s">
        <v>819</v>
      </c>
      <c r="E320" s="2">
        <v>3</v>
      </c>
      <c r="F320" s="5" t="s">
        <v>32</v>
      </c>
      <c r="G320" s="5" t="str">
        <f>VLOOKUP('[2]Beban Mengajar'!F320,[2]Dosen!A:B,2)</f>
        <v>Doni Setio Pambudi, S.Kom. M.Kom</v>
      </c>
      <c r="J320" s="5"/>
    </row>
    <row r="321" spans="1:10" ht="15" customHeight="1" x14ac:dyDescent="0.3">
      <c r="A321" s="5" t="s">
        <v>891</v>
      </c>
      <c r="B321" s="20" t="s">
        <v>211</v>
      </c>
      <c r="C321" s="2" t="s">
        <v>308</v>
      </c>
      <c r="D321" s="35" t="s">
        <v>697</v>
      </c>
      <c r="E321" s="2">
        <v>2</v>
      </c>
      <c r="F321" s="5"/>
      <c r="G321" s="5"/>
      <c r="H321" s="54" t="s">
        <v>74</v>
      </c>
      <c r="I321">
        <v>0</v>
      </c>
      <c r="J321" s="5"/>
    </row>
    <row r="322" spans="1:10" x14ac:dyDescent="0.3">
      <c r="A322" s="5" t="s">
        <v>891</v>
      </c>
      <c r="B322" s="20" t="s">
        <v>211</v>
      </c>
      <c r="C322" s="2" t="s">
        <v>503</v>
      </c>
      <c r="D322" s="5" t="s">
        <v>504</v>
      </c>
      <c r="E322" s="2">
        <v>3</v>
      </c>
      <c r="F322" s="5" t="s">
        <v>111</v>
      </c>
      <c r="G322" s="5" t="str">
        <f>VLOOKUP('[2]Beban Mengajar'!F322,[2]Dosen!A:B,2)</f>
        <v>Mohammad Arif Rasyidi, S.Kom., M.Sc.</v>
      </c>
      <c r="H322" s="68" t="s">
        <v>892</v>
      </c>
      <c r="J322" s="5"/>
    </row>
    <row r="323" spans="1:10" x14ac:dyDescent="0.3">
      <c r="A323" s="5" t="s">
        <v>891</v>
      </c>
      <c r="B323" s="20" t="s">
        <v>211</v>
      </c>
      <c r="C323" s="2" t="s">
        <v>511</v>
      </c>
      <c r="D323" s="5" t="s">
        <v>483</v>
      </c>
      <c r="E323" s="2">
        <v>3</v>
      </c>
      <c r="F323" s="5" t="s">
        <v>131</v>
      </c>
      <c r="G323" s="5" t="str">
        <f>VLOOKUP('[2]Beban Mengajar'!F323,[2]Dosen!A:B,2)</f>
        <v>Ngatini</v>
      </c>
      <c r="J323" s="5"/>
    </row>
    <row r="324" spans="1:10" x14ac:dyDescent="0.3">
      <c r="A324" s="5" t="s">
        <v>891</v>
      </c>
      <c r="B324" s="20" t="s">
        <v>211</v>
      </c>
      <c r="C324" s="2" t="s">
        <v>500</v>
      </c>
      <c r="D324" s="5" t="s">
        <v>455</v>
      </c>
      <c r="E324" s="2">
        <v>3</v>
      </c>
      <c r="F324" s="5" t="s">
        <v>140</v>
      </c>
      <c r="G324" s="5" t="str">
        <f>VLOOKUP('[2]Beban Mengajar'!F324,[2]Dosen!A:B,2)</f>
        <v>Puji Andayani, S.Si., M.Si., M.Sc.</v>
      </c>
      <c r="J324" s="5"/>
    </row>
    <row r="325" spans="1:10" x14ac:dyDescent="0.3">
      <c r="A325" s="5" t="s">
        <v>891</v>
      </c>
      <c r="B325" s="20" t="s">
        <v>211</v>
      </c>
      <c r="C325" s="2" t="s">
        <v>515</v>
      </c>
      <c r="D325" s="5" t="s">
        <v>516</v>
      </c>
      <c r="E325" s="2">
        <v>3</v>
      </c>
      <c r="F325" s="5" t="s">
        <v>32</v>
      </c>
      <c r="G325" s="5" t="str">
        <f>VLOOKUP('[2]Beban Mengajar'!F325,[2]Dosen!A:B,2)</f>
        <v>Doni Setio Pambudi, S.Kom. M.Kom</v>
      </c>
      <c r="J325" s="5"/>
    </row>
    <row r="326" spans="1:10" x14ac:dyDescent="0.3">
      <c r="A326" s="5" t="s">
        <v>891</v>
      </c>
      <c r="B326" s="20" t="s">
        <v>211</v>
      </c>
      <c r="C326" s="2" t="s">
        <v>383</v>
      </c>
      <c r="D326" s="5" t="s">
        <v>384</v>
      </c>
      <c r="E326" s="2">
        <v>2</v>
      </c>
      <c r="F326" s="5" t="s">
        <v>148</v>
      </c>
      <c r="G326" s="5" t="str">
        <f>VLOOKUP('[2]Beban Mengajar'!F326,[2]Dosen!A:B,2)</f>
        <v>Ruktin Handayani, S.Kom., M.Kom.</v>
      </c>
      <c r="J326" s="5"/>
    </row>
    <row r="327" spans="1:10" x14ac:dyDescent="0.3">
      <c r="A327" s="5" t="s">
        <v>891</v>
      </c>
      <c r="B327" s="20" t="s">
        <v>211</v>
      </c>
      <c r="C327" s="2" t="s">
        <v>356</v>
      </c>
      <c r="D327" s="35" t="s">
        <v>357</v>
      </c>
      <c r="E327" s="2">
        <v>2</v>
      </c>
      <c r="F327" s="5"/>
      <c r="G327" s="5"/>
      <c r="H327" s="54" t="s">
        <v>668</v>
      </c>
      <c r="I327">
        <v>0</v>
      </c>
      <c r="J327" s="5"/>
    </row>
    <row r="328" spans="1:10" ht="0.75" customHeight="1" x14ac:dyDescent="0.3">
      <c r="A328" s="5" t="s">
        <v>891</v>
      </c>
      <c r="B328" s="51" t="s">
        <v>213</v>
      </c>
      <c r="C328" s="2" t="s">
        <v>513</v>
      </c>
      <c r="D328" s="5" t="s">
        <v>514</v>
      </c>
      <c r="E328" s="2">
        <v>4</v>
      </c>
      <c r="F328" s="5" t="s">
        <v>103</v>
      </c>
      <c r="G328" s="5" t="str">
        <f>VLOOKUP('[2]Beban Mengajar'!F328,[2]Dosen!A:B,2)</f>
        <v>Lailatul Hidayah, S.Kom., MS.</v>
      </c>
      <c r="H328" s="68" t="s">
        <v>892</v>
      </c>
      <c r="J328" s="5"/>
    </row>
    <row r="329" spans="1:10" x14ac:dyDescent="0.3">
      <c r="A329" s="5" t="s">
        <v>891</v>
      </c>
      <c r="B329" s="51" t="s">
        <v>213</v>
      </c>
      <c r="C329" s="2" t="s">
        <v>512</v>
      </c>
      <c r="D329" s="5" t="s">
        <v>685</v>
      </c>
      <c r="E329" s="2">
        <v>3</v>
      </c>
      <c r="F329" s="5" t="s">
        <v>111</v>
      </c>
      <c r="G329" s="5" t="str">
        <f>VLOOKUP('[2]Beban Mengajar'!F329,[2]Dosen!A:B,2)</f>
        <v>Mohammad Arif Rasyidi, S.Kom., M.Sc.</v>
      </c>
      <c r="H329" s="68" t="s">
        <v>892</v>
      </c>
      <c r="J329" s="5"/>
    </row>
    <row r="330" spans="1:10" x14ac:dyDescent="0.3">
      <c r="A330" s="5" t="s">
        <v>891</v>
      </c>
      <c r="B330" s="51" t="s">
        <v>213</v>
      </c>
      <c r="C330" s="2" t="s">
        <v>523</v>
      </c>
      <c r="D330" s="5" t="s">
        <v>524</v>
      </c>
      <c r="E330" s="2">
        <v>3</v>
      </c>
      <c r="F330" s="5" t="s">
        <v>131</v>
      </c>
      <c r="G330" s="5" t="str">
        <f>VLOOKUP('[2]Beban Mengajar'!F330,[2]Dosen!A:B,2)</f>
        <v>Ngatini</v>
      </c>
      <c r="J330" s="5"/>
    </row>
    <row r="331" spans="1:10" x14ac:dyDescent="0.3">
      <c r="A331" s="5" t="s">
        <v>891</v>
      </c>
      <c r="B331" s="51" t="s">
        <v>213</v>
      </c>
      <c r="C331" s="2" t="s">
        <v>519</v>
      </c>
      <c r="D331" s="5" t="s">
        <v>520</v>
      </c>
      <c r="E331" s="2">
        <v>3</v>
      </c>
      <c r="F331" s="5" t="s">
        <v>172</v>
      </c>
      <c r="G331" s="5" t="str">
        <f>VLOOKUP('[2]Beban Mengajar'!F331,[2]Dosen!A:B,2)</f>
        <v>Taufiqotul Bariyah S.Kom., M.IM</v>
      </c>
      <c r="J331" s="5"/>
    </row>
    <row r="332" spans="1:10" x14ac:dyDescent="0.3">
      <c r="A332" s="5" t="s">
        <v>891</v>
      </c>
      <c r="B332" s="51" t="s">
        <v>213</v>
      </c>
      <c r="C332" s="2" t="s">
        <v>496</v>
      </c>
      <c r="D332" s="5" t="s">
        <v>810</v>
      </c>
      <c r="E332" s="2">
        <v>4</v>
      </c>
      <c r="F332" s="5" t="s">
        <v>187</v>
      </c>
      <c r="G332" s="5" t="str">
        <f>VLOOKUP('[2]Beban Mengajar'!F332,[2]Dosen!A:B,2)</f>
        <v>Yohanes Indra Riskajaya, S.Kom., M.Kom</v>
      </c>
      <c r="H332" s="68" t="s">
        <v>892</v>
      </c>
      <c r="J332" s="5"/>
    </row>
    <row r="333" spans="1:10" x14ac:dyDescent="0.3">
      <c r="A333" s="5" t="s">
        <v>891</v>
      </c>
      <c r="B333" s="51" t="s">
        <v>213</v>
      </c>
      <c r="C333" s="2" t="s">
        <v>322</v>
      </c>
      <c r="D333" s="5" t="s">
        <v>323</v>
      </c>
      <c r="E333" s="2">
        <v>2</v>
      </c>
      <c r="F333" s="5"/>
      <c r="G333" s="5"/>
      <c r="H333" s="54" t="s">
        <v>668</v>
      </c>
      <c r="I333">
        <v>0</v>
      </c>
      <c r="J333" s="5"/>
    </row>
    <row r="334" spans="1:10" x14ac:dyDescent="0.3">
      <c r="A334" s="5" t="s">
        <v>891</v>
      </c>
      <c r="B334" s="51" t="s">
        <v>215</v>
      </c>
      <c r="C334" s="2" t="s">
        <v>497</v>
      </c>
      <c r="D334" s="5" t="s">
        <v>498</v>
      </c>
      <c r="E334" s="2">
        <v>3</v>
      </c>
      <c r="F334" s="5" t="s">
        <v>172</v>
      </c>
      <c r="G334" s="5" t="str">
        <f>VLOOKUP('[2]Beban Mengajar'!F334,[2]Dosen!A:B,2)</f>
        <v>Taufiqotul Bariyah S.Kom., M.IM</v>
      </c>
      <c r="J334" s="5"/>
    </row>
    <row r="335" spans="1:10" x14ac:dyDescent="0.3">
      <c r="A335" s="5" t="s">
        <v>891</v>
      </c>
      <c r="B335" s="51" t="s">
        <v>215</v>
      </c>
      <c r="C335" s="2" t="s">
        <v>507</v>
      </c>
      <c r="D335" s="5" t="s">
        <v>508</v>
      </c>
      <c r="E335" s="2">
        <v>3</v>
      </c>
      <c r="F335" s="5" t="s">
        <v>103</v>
      </c>
      <c r="G335" s="5" t="str">
        <f>VLOOKUP('[2]Beban Mengajar'!F335,[2]Dosen!A:B,2)</f>
        <v>Lailatul Hidayah, S.Kom., MS.</v>
      </c>
      <c r="H335" s="68" t="s">
        <v>892</v>
      </c>
      <c r="J335" s="5"/>
    </row>
    <row r="336" spans="1:10" x14ac:dyDescent="0.3">
      <c r="A336" s="5" t="s">
        <v>891</v>
      </c>
      <c r="B336" s="51" t="s">
        <v>215</v>
      </c>
      <c r="C336" s="2" t="s">
        <v>499</v>
      </c>
      <c r="D336" s="5" t="s">
        <v>811</v>
      </c>
      <c r="E336" s="2">
        <v>3</v>
      </c>
      <c r="F336" s="5" t="s">
        <v>32</v>
      </c>
      <c r="G336" s="5" t="str">
        <f>VLOOKUP('[2]Beban Mengajar'!F336,[2]Dosen!A:B,2)</f>
        <v>Doni Setio Pambudi, S.Kom. M.Kom</v>
      </c>
      <c r="J336" s="5"/>
    </row>
    <row r="337" spans="1:10" ht="15" customHeight="1" x14ac:dyDescent="0.3">
      <c r="A337" s="5" t="s">
        <v>891</v>
      </c>
      <c r="B337" s="51" t="s">
        <v>215</v>
      </c>
      <c r="C337" s="2" t="s">
        <v>501</v>
      </c>
      <c r="D337" s="5" t="s">
        <v>812</v>
      </c>
      <c r="E337" s="2">
        <v>3</v>
      </c>
      <c r="F337" s="5" t="s">
        <v>187</v>
      </c>
      <c r="G337" s="5" t="str">
        <f>VLOOKUP('[2]Beban Mengajar'!F337,[2]Dosen!A:B,2)</f>
        <v>Yohanes Indra Riskajaya, S.Kom., M.Kom</v>
      </c>
      <c r="J337" s="5"/>
    </row>
    <row r="338" spans="1:10" x14ac:dyDescent="0.3">
      <c r="A338" s="5" t="s">
        <v>891</v>
      </c>
      <c r="B338" s="51" t="s">
        <v>215</v>
      </c>
      <c r="C338" s="2" t="s">
        <v>509</v>
      </c>
      <c r="D338" s="5" t="s">
        <v>510</v>
      </c>
      <c r="E338" s="2">
        <v>3</v>
      </c>
      <c r="F338" s="5" t="s">
        <v>148</v>
      </c>
      <c r="G338" s="5" t="str">
        <f>VLOOKUP('[2]Beban Mengajar'!F338,[2]Dosen!A:B,2)</f>
        <v>Ruktin Handayani, S.Kom., M.Kom.</v>
      </c>
      <c r="J338" s="5"/>
    </row>
    <row r="339" spans="1:10" x14ac:dyDescent="0.3">
      <c r="A339" s="5" t="s">
        <v>891</v>
      </c>
      <c r="B339" s="51" t="s">
        <v>215</v>
      </c>
      <c r="C339" s="2" t="s">
        <v>505</v>
      </c>
      <c r="D339" s="5" t="s">
        <v>506</v>
      </c>
      <c r="E339" s="2">
        <v>3</v>
      </c>
      <c r="F339" s="5" t="s">
        <v>111</v>
      </c>
      <c r="G339" s="5" t="str">
        <f>VLOOKUP('[2]Beban Mengajar'!F339,[2]Dosen!A:B,2)</f>
        <v>Mohammad Arif Rasyidi, S.Kom., M.Sc.</v>
      </c>
      <c r="H339" s="68" t="s">
        <v>892</v>
      </c>
      <c r="J339" s="5"/>
    </row>
    <row r="340" spans="1:10" x14ac:dyDescent="0.3">
      <c r="A340" s="5" t="s">
        <v>891</v>
      </c>
      <c r="B340" s="51" t="s">
        <v>215</v>
      </c>
      <c r="C340" s="2" t="s">
        <v>527</v>
      </c>
      <c r="D340" s="5" t="s">
        <v>417</v>
      </c>
      <c r="E340" s="2">
        <v>2</v>
      </c>
      <c r="F340" s="5"/>
      <c r="G340" s="5"/>
      <c r="J340" s="5"/>
    </row>
    <row r="341" spans="1:10" x14ac:dyDescent="0.3">
      <c r="A341" s="5" t="s">
        <v>891</v>
      </c>
      <c r="B341" s="51" t="s">
        <v>651</v>
      </c>
      <c r="C341" s="2" t="s">
        <v>425</v>
      </c>
      <c r="D341" s="5" t="s">
        <v>813</v>
      </c>
      <c r="E341" s="2">
        <v>2</v>
      </c>
      <c r="F341" s="5"/>
      <c r="G341" s="5"/>
      <c r="J341" s="5"/>
    </row>
    <row r="342" spans="1:10" x14ac:dyDescent="0.3">
      <c r="A342" s="5" t="s">
        <v>670</v>
      </c>
      <c r="B342" s="20" t="s">
        <v>234</v>
      </c>
      <c r="C342" s="47" t="s">
        <v>356</v>
      </c>
      <c r="D342" s="35" t="s">
        <v>357</v>
      </c>
      <c r="E342" s="47">
        <v>2</v>
      </c>
      <c r="F342" s="5"/>
      <c r="G342" s="5"/>
      <c r="I342">
        <v>50</v>
      </c>
      <c r="J342" s="5"/>
    </row>
    <row r="343" spans="1:10" x14ac:dyDescent="0.3">
      <c r="A343" s="5" t="s">
        <v>670</v>
      </c>
      <c r="B343" s="20" t="s">
        <v>234</v>
      </c>
      <c r="C343" s="47" t="s">
        <v>383</v>
      </c>
      <c r="D343" s="69" t="s">
        <v>820</v>
      </c>
      <c r="E343" s="47">
        <v>2</v>
      </c>
      <c r="F343" s="5" t="s">
        <v>26</v>
      </c>
      <c r="G343" s="5" t="str">
        <f>VLOOKUP('[2]Beban Mengajar'!F343,[2]Dosen!A:B,2)</f>
        <v>Brina Miftahurrohmah, S.Si., M.Si</v>
      </c>
      <c r="J343" s="5"/>
    </row>
    <row r="344" spans="1:10" ht="15" customHeight="1" x14ac:dyDescent="0.3">
      <c r="A344" s="5" t="s">
        <v>670</v>
      </c>
      <c r="B344" s="20" t="s">
        <v>234</v>
      </c>
      <c r="C344" s="47" t="s">
        <v>473</v>
      </c>
      <c r="D344" s="69" t="s">
        <v>821</v>
      </c>
      <c r="E344" s="47">
        <v>2</v>
      </c>
      <c r="F344" s="5" t="s">
        <v>140</v>
      </c>
      <c r="G344" s="5" t="str">
        <f>VLOOKUP('[2]Beban Mengajar'!F344,[2]Dosen!A:B,2)</f>
        <v>Puji Andayani, S.Si., M.Si., M.Sc.</v>
      </c>
      <c r="J344" s="5"/>
    </row>
    <row r="345" spans="1:10" x14ac:dyDescent="0.3">
      <c r="A345" s="5" t="s">
        <v>670</v>
      </c>
      <c r="B345" s="20" t="s">
        <v>234</v>
      </c>
      <c r="C345" s="47" t="s">
        <v>476</v>
      </c>
      <c r="D345" s="69" t="s">
        <v>822</v>
      </c>
      <c r="E345" s="47">
        <v>3</v>
      </c>
      <c r="F345" s="5" t="s">
        <v>131</v>
      </c>
      <c r="G345" s="5"/>
      <c r="H345" s="54" t="s">
        <v>668</v>
      </c>
      <c r="J345" s="5"/>
    </row>
    <row r="346" spans="1:10" x14ac:dyDescent="0.3">
      <c r="A346" s="5" t="s">
        <v>670</v>
      </c>
      <c r="B346" s="20" t="s">
        <v>234</v>
      </c>
      <c r="C346" s="47" t="s">
        <v>486</v>
      </c>
      <c r="D346" s="69" t="s">
        <v>823</v>
      </c>
      <c r="E346" s="47">
        <v>2</v>
      </c>
      <c r="F346" s="5" t="s">
        <v>156</v>
      </c>
      <c r="G346" s="5" t="str">
        <f>VLOOKUP('[2]Beban Mengajar'!F346,[2]Dosen!A:B,2)</f>
        <v>Renny Sari Dewi, S.Kom., M.Kom.</v>
      </c>
      <c r="J346" s="5"/>
    </row>
    <row r="347" spans="1:10" ht="15" customHeight="1" x14ac:dyDescent="0.3">
      <c r="A347" s="5" t="s">
        <v>670</v>
      </c>
      <c r="B347" s="20" t="s">
        <v>234</v>
      </c>
      <c r="C347" s="47" t="s">
        <v>482</v>
      </c>
      <c r="D347" s="69" t="s">
        <v>824</v>
      </c>
      <c r="E347" s="47">
        <v>3</v>
      </c>
      <c r="F347" s="5" t="s">
        <v>140</v>
      </c>
      <c r="G347" s="5" t="str">
        <f>VLOOKUP('[2]Beban Mengajar'!F347,[2]Dosen!A:B,2)</f>
        <v>Puji Andayani, S.Si., M.Si., M.Sc.</v>
      </c>
      <c r="J347" s="5"/>
    </row>
    <row r="348" spans="1:10" x14ac:dyDescent="0.3">
      <c r="A348" s="5" t="s">
        <v>670</v>
      </c>
      <c r="B348" s="20" t="s">
        <v>234</v>
      </c>
      <c r="C348" s="47" t="s">
        <v>484</v>
      </c>
      <c r="D348" s="69" t="s">
        <v>825</v>
      </c>
      <c r="E348" s="47">
        <v>3</v>
      </c>
      <c r="F348" s="5" t="s">
        <v>30</v>
      </c>
      <c r="G348" s="5" t="str">
        <f>VLOOKUP('[2]Beban Mengajar'!F348,[2]Dosen!A:B,2)</f>
        <v>Catur Wulandari, S.Kom., M.Sc</v>
      </c>
      <c r="J348" s="5"/>
    </row>
    <row r="349" spans="1:10" ht="15" customHeight="1" x14ac:dyDescent="0.3">
      <c r="A349" s="5" t="s">
        <v>670</v>
      </c>
      <c r="B349" s="51" t="s">
        <v>896</v>
      </c>
      <c r="C349" s="47" t="s">
        <v>746</v>
      </c>
      <c r="D349" s="69" t="s">
        <v>747</v>
      </c>
      <c r="E349" s="59">
        <v>3</v>
      </c>
      <c r="F349" s="5"/>
      <c r="G349" s="5"/>
      <c r="J349" s="5"/>
    </row>
    <row r="350" spans="1:10" ht="15" customHeight="1" x14ac:dyDescent="0.3">
      <c r="A350" s="5" t="s">
        <v>670</v>
      </c>
      <c r="B350" s="51" t="s">
        <v>896</v>
      </c>
      <c r="C350" s="47" t="s">
        <v>371</v>
      </c>
      <c r="D350" s="5" t="s">
        <v>849</v>
      </c>
      <c r="E350" s="47">
        <v>3</v>
      </c>
      <c r="F350" s="5" t="s">
        <v>148</v>
      </c>
      <c r="G350" s="5"/>
      <c r="H350" s="54" t="s">
        <v>897</v>
      </c>
      <c r="J350" s="5"/>
    </row>
    <row r="351" spans="1:10" x14ac:dyDescent="0.3">
      <c r="A351" s="5" t="s">
        <v>670</v>
      </c>
      <c r="B351" s="51" t="s">
        <v>233</v>
      </c>
      <c r="C351" s="47" t="s">
        <v>475</v>
      </c>
      <c r="D351" s="69" t="s">
        <v>826</v>
      </c>
      <c r="E351" s="47">
        <v>3</v>
      </c>
      <c r="F351" s="5" t="s">
        <v>26</v>
      </c>
      <c r="G351" s="5" t="str">
        <f>VLOOKUP('[2]Beban Mengajar'!F351,[2]Dosen!A:B,2)</f>
        <v>Brina Miftahurrohmah, S.Si., M.Si</v>
      </c>
      <c r="J351" s="5"/>
    </row>
    <row r="352" spans="1:10" ht="15.75" customHeight="1" x14ac:dyDescent="0.3">
      <c r="A352" s="5" t="s">
        <v>670</v>
      </c>
      <c r="B352" s="51" t="s">
        <v>896</v>
      </c>
      <c r="C352" s="47" t="s">
        <v>491</v>
      </c>
      <c r="D352" s="69" t="s">
        <v>827</v>
      </c>
      <c r="E352" s="47">
        <v>2</v>
      </c>
      <c r="F352" s="5" t="s">
        <v>30</v>
      </c>
      <c r="G352" s="5" t="str">
        <f>VLOOKUP('[2]Beban Mengajar'!F352,[2]Dosen!A:B,2)</f>
        <v>Catur Wulandari, S.Kom., M.Sc</v>
      </c>
      <c r="J352" s="5"/>
    </row>
    <row r="353" spans="1:10" ht="15.75" customHeight="1" x14ac:dyDescent="0.3">
      <c r="A353" s="5" t="s">
        <v>670</v>
      </c>
      <c r="B353" s="51" t="s">
        <v>896</v>
      </c>
      <c r="C353" s="47" t="s">
        <v>474</v>
      </c>
      <c r="D353" s="69" t="s">
        <v>828</v>
      </c>
      <c r="E353" s="47">
        <v>3</v>
      </c>
      <c r="F353" s="5" t="s">
        <v>30</v>
      </c>
      <c r="G353" s="5" t="str">
        <f>VLOOKUP('[2]Beban Mengajar'!F353,[2]Dosen!A:B,2)</f>
        <v>Catur Wulandari, S.Kom., M.Sc</v>
      </c>
      <c r="J353" s="5"/>
    </row>
    <row r="354" spans="1:10" ht="15" customHeight="1" x14ac:dyDescent="0.3">
      <c r="A354" s="5" t="s">
        <v>670</v>
      </c>
      <c r="B354" s="51" t="s">
        <v>896</v>
      </c>
      <c r="C354" s="47" t="s">
        <v>477</v>
      </c>
      <c r="D354" s="69" t="s">
        <v>829</v>
      </c>
      <c r="E354" s="47">
        <v>2</v>
      </c>
      <c r="F354" s="5" t="s">
        <v>156</v>
      </c>
      <c r="G354" s="5" t="str">
        <f>VLOOKUP('[2]Beban Mengajar'!F354,[2]Dosen!A:B,2)</f>
        <v>Renny Sari Dewi, S.Kom., M.Kom.</v>
      </c>
      <c r="J354" s="5"/>
    </row>
    <row r="355" spans="1:10" x14ac:dyDescent="0.3">
      <c r="A355" s="5" t="s">
        <v>670</v>
      </c>
      <c r="B355" s="51" t="s">
        <v>896</v>
      </c>
      <c r="C355" s="47" t="s">
        <v>485</v>
      </c>
      <c r="D355" s="69" t="s">
        <v>830</v>
      </c>
      <c r="E355" s="47">
        <v>3</v>
      </c>
      <c r="F355" s="5" t="s">
        <v>30</v>
      </c>
      <c r="G355" s="5" t="str">
        <f>VLOOKUP('[2]Beban Mengajar'!F355,[2]Dosen!A:B,2)</f>
        <v>Catur Wulandari, S.Kom., M.Sc</v>
      </c>
      <c r="J355" s="5"/>
    </row>
    <row r="356" spans="1:10" ht="15" customHeight="1" x14ac:dyDescent="0.3">
      <c r="A356" s="5" t="s">
        <v>670</v>
      </c>
      <c r="B356" s="51" t="s">
        <v>688</v>
      </c>
      <c r="C356" s="47" t="s">
        <v>352</v>
      </c>
      <c r="D356" s="55" t="s">
        <v>868</v>
      </c>
      <c r="E356" s="47">
        <v>2</v>
      </c>
      <c r="F356" s="5"/>
      <c r="G356" s="5"/>
      <c r="I356">
        <v>50</v>
      </c>
      <c r="J356" s="5"/>
    </row>
    <row r="357" spans="1:10" ht="15" customHeight="1" x14ac:dyDescent="0.3">
      <c r="A357" s="5" t="s">
        <v>670</v>
      </c>
      <c r="B357" s="51" t="s">
        <v>688</v>
      </c>
      <c r="C357" s="47" t="s">
        <v>478</v>
      </c>
      <c r="D357" s="69" t="s">
        <v>831</v>
      </c>
      <c r="E357" s="47">
        <v>3</v>
      </c>
      <c r="F357" s="5" t="s">
        <v>144</v>
      </c>
      <c r="G357" s="5" t="str">
        <f>VLOOKUP('[2]Beban Mengajar'!F357,[2]Dosen!A:B,2)</f>
        <v>Putri Amelia, S.T., M.T., M.Eng.</v>
      </c>
      <c r="J357" s="5"/>
    </row>
    <row r="358" spans="1:10" ht="15" customHeight="1" x14ac:dyDescent="0.3">
      <c r="A358" s="5" t="s">
        <v>670</v>
      </c>
      <c r="B358" s="51" t="s">
        <v>235</v>
      </c>
      <c r="C358" s="47" t="s">
        <v>494</v>
      </c>
      <c r="D358" s="69" t="s">
        <v>832</v>
      </c>
      <c r="E358" s="47">
        <v>3</v>
      </c>
      <c r="F358" s="5" t="s">
        <v>26</v>
      </c>
      <c r="G358" s="5" t="str">
        <f>VLOOKUP('[2]Beban Mengajar'!F358,[2]Dosen!A:B,2)</f>
        <v>Brina Miftahurrohmah, S.Si., M.Si</v>
      </c>
      <c r="J358" s="5"/>
    </row>
    <row r="359" spans="1:10" ht="15" customHeight="1" x14ac:dyDescent="0.3">
      <c r="A359" s="5" t="s">
        <v>670</v>
      </c>
      <c r="B359" s="51" t="s">
        <v>688</v>
      </c>
      <c r="C359" s="47" t="s">
        <v>488</v>
      </c>
      <c r="D359" s="69" t="s">
        <v>833</v>
      </c>
      <c r="E359" s="47">
        <v>2</v>
      </c>
      <c r="F359" s="5" t="s">
        <v>193</v>
      </c>
      <c r="G359" s="5" t="str">
        <f>VLOOKUP('[2]Beban Mengajar'!F359,[2]Dosen!A:B,2)</f>
        <v>Yogantara Setya Dharmawan, S.Kom., M.Sc</v>
      </c>
      <c r="J359" s="5"/>
    </row>
    <row r="360" spans="1:10" ht="15.75" customHeight="1" x14ac:dyDescent="0.3">
      <c r="A360" s="5" t="s">
        <v>670</v>
      </c>
      <c r="B360" s="51" t="s">
        <v>688</v>
      </c>
      <c r="C360" s="47" t="s">
        <v>480</v>
      </c>
      <c r="D360" s="69" t="s">
        <v>834</v>
      </c>
      <c r="E360" s="47">
        <v>3</v>
      </c>
      <c r="F360" s="5" t="s">
        <v>144</v>
      </c>
      <c r="G360" s="5" t="str">
        <f>VLOOKUP('[2]Beban Mengajar'!F360,[2]Dosen!A:B,2)</f>
        <v>Putri Amelia, S.T., M.T., M.Eng.</v>
      </c>
      <c r="J360" s="5"/>
    </row>
    <row r="361" spans="1:10" ht="15" customHeight="1" x14ac:dyDescent="0.3">
      <c r="A361" s="5" t="s">
        <v>670</v>
      </c>
      <c r="B361" s="51" t="s">
        <v>688</v>
      </c>
      <c r="C361" s="47" t="s">
        <v>495</v>
      </c>
      <c r="D361" s="69" t="s">
        <v>835</v>
      </c>
      <c r="E361" s="47">
        <v>3</v>
      </c>
      <c r="F361" s="5" t="s">
        <v>156</v>
      </c>
      <c r="G361" s="5" t="str">
        <f>VLOOKUP('[2]Beban Mengajar'!F361,[2]Dosen!A:B,2)</f>
        <v>Renny Sari Dewi, S.Kom., M.Kom.</v>
      </c>
      <c r="J361" s="5"/>
    </row>
    <row r="362" spans="1:10" ht="15" customHeight="1" x14ac:dyDescent="0.3">
      <c r="A362" s="5" t="s">
        <v>670</v>
      </c>
      <c r="B362" s="51" t="s">
        <v>688</v>
      </c>
      <c r="C362" s="47" t="s">
        <v>479</v>
      </c>
      <c r="D362" s="69" t="s">
        <v>836</v>
      </c>
      <c r="E362" s="47">
        <v>3</v>
      </c>
      <c r="F362" s="5" t="s">
        <v>30</v>
      </c>
      <c r="G362" s="5" t="str">
        <f>VLOOKUP('[2]Beban Mengajar'!F362,[2]Dosen!A:B,2)</f>
        <v>Catur Wulandari, S.Kom., M.Sc</v>
      </c>
      <c r="J362" s="5"/>
    </row>
    <row r="363" spans="1:10" ht="15" customHeight="1" x14ac:dyDescent="0.3">
      <c r="A363" s="5" t="s">
        <v>670</v>
      </c>
      <c r="B363" s="51" t="s">
        <v>653</v>
      </c>
      <c r="C363" s="47" t="s">
        <v>322</v>
      </c>
      <c r="D363" s="5" t="s">
        <v>323</v>
      </c>
      <c r="E363" s="47">
        <v>2</v>
      </c>
      <c r="F363" s="5"/>
      <c r="G363" s="5"/>
      <c r="I363">
        <v>49</v>
      </c>
      <c r="J363" s="5"/>
    </row>
    <row r="364" spans="1:10" ht="15.75" customHeight="1" x14ac:dyDescent="0.3">
      <c r="A364" s="5" t="s">
        <v>670</v>
      </c>
      <c r="B364" s="51" t="s">
        <v>653</v>
      </c>
      <c r="C364" s="47" t="s">
        <v>489</v>
      </c>
      <c r="D364" s="69" t="s">
        <v>837</v>
      </c>
      <c r="E364" s="47">
        <v>3</v>
      </c>
      <c r="F364" s="5" t="s">
        <v>144</v>
      </c>
      <c r="G364" s="5" t="str">
        <f>VLOOKUP('[2]Beban Mengajar'!F364,[2]Dosen!A:B,2)</f>
        <v>Putri Amelia, S.T., M.T., M.Eng.</v>
      </c>
      <c r="J364" s="5"/>
    </row>
    <row r="365" spans="1:10" ht="15" customHeight="1" x14ac:dyDescent="0.3">
      <c r="A365" s="5" t="s">
        <v>670</v>
      </c>
      <c r="B365" s="51" t="s">
        <v>653</v>
      </c>
      <c r="C365" s="47" t="s">
        <v>490</v>
      </c>
      <c r="D365" s="69" t="s">
        <v>838</v>
      </c>
      <c r="E365" s="47">
        <v>3</v>
      </c>
      <c r="F365" s="5" t="s">
        <v>193</v>
      </c>
      <c r="G365" s="5" t="str">
        <f>VLOOKUP('[2]Beban Mengajar'!F365,[2]Dosen!A:B,2)</f>
        <v>Yogantara Setya Dharmawan, S.Kom., M.Sc</v>
      </c>
      <c r="J365" s="5"/>
    </row>
    <row r="366" spans="1:10" ht="15" customHeight="1" x14ac:dyDescent="0.3">
      <c r="A366" s="5" t="s">
        <v>670</v>
      </c>
      <c r="B366" s="51" t="s">
        <v>898</v>
      </c>
      <c r="C366" s="47" t="s">
        <v>487</v>
      </c>
      <c r="D366" s="69" t="s">
        <v>839</v>
      </c>
      <c r="E366" s="47">
        <v>2</v>
      </c>
      <c r="F366" s="5" t="s">
        <v>156</v>
      </c>
      <c r="G366" s="5" t="str">
        <f>VLOOKUP('[2]Beban Mengajar'!F366,[2]Dosen!A:B,2)</f>
        <v>Renny Sari Dewi, S.Kom., M.Kom.</v>
      </c>
      <c r="J366" s="5"/>
    </row>
    <row r="367" spans="1:10" ht="15" customHeight="1" x14ac:dyDescent="0.3">
      <c r="A367" s="5" t="s">
        <v>670</v>
      </c>
      <c r="B367" s="51" t="s">
        <v>653</v>
      </c>
      <c r="C367" s="47" t="s">
        <v>493</v>
      </c>
      <c r="D367" s="69" t="s">
        <v>840</v>
      </c>
      <c r="E367" s="47">
        <v>3</v>
      </c>
      <c r="F367" s="5"/>
      <c r="G367" s="5"/>
      <c r="H367" s="54" t="s">
        <v>899</v>
      </c>
      <c r="J367" s="5"/>
    </row>
    <row r="368" spans="1:10" ht="15" customHeight="1" x14ac:dyDescent="0.3">
      <c r="A368" s="5" t="s">
        <v>670</v>
      </c>
      <c r="B368" s="51" t="s">
        <v>898</v>
      </c>
      <c r="C368" s="47" t="s">
        <v>492</v>
      </c>
      <c r="D368" s="69" t="s">
        <v>841</v>
      </c>
      <c r="E368" s="47">
        <v>3</v>
      </c>
      <c r="F368" s="5"/>
      <c r="G368" s="5"/>
      <c r="H368" s="54" t="s">
        <v>899</v>
      </c>
      <c r="J368" s="5"/>
    </row>
    <row r="369" spans="1:10" ht="15" customHeight="1" x14ac:dyDescent="0.3">
      <c r="A369" s="5" t="s">
        <v>670</v>
      </c>
      <c r="B369" s="51" t="s">
        <v>900</v>
      </c>
      <c r="C369" s="47" t="s">
        <v>481</v>
      </c>
      <c r="D369" s="69" t="s">
        <v>842</v>
      </c>
      <c r="E369" s="47">
        <v>3</v>
      </c>
      <c r="F369" s="5" t="s">
        <v>193</v>
      </c>
      <c r="G369" s="5" t="str">
        <f>VLOOKUP('[2]Beban Mengajar'!F369,[2]Dosen!A:B,2)</f>
        <v>Yogantara Setya Dharmawan, S.Kom., M.Sc</v>
      </c>
      <c r="J369" s="5"/>
    </row>
    <row r="370" spans="1:10" ht="15.75" customHeight="1" x14ac:dyDescent="0.3">
      <c r="A370" s="5" t="s">
        <v>670</v>
      </c>
      <c r="B370" s="51" t="s">
        <v>900</v>
      </c>
      <c r="C370" s="47" t="s">
        <v>843</v>
      </c>
      <c r="D370" s="69" t="s">
        <v>844</v>
      </c>
      <c r="E370" s="47">
        <v>3</v>
      </c>
      <c r="F370" s="5" t="s">
        <v>30</v>
      </c>
      <c r="G370" s="5" t="str">
        <f>VLOOKUP('[2]Beban Mengajar'!F370,[2]Dosen!A:B,2)</f>
        <v>Catur Wulandari, S.Kom., M.Sc</v>
      </c>
      <c r="J370" s="5"/>
    </row>
    <row r="371" spans="1:10" ht="15.75" customHeight="1" x14ac:dyDescent="0.3">
      <c r="A371" s="5" t="s">
        <v>670</v>
      </c>
      <c r="B371" s="51" t="s">
        <v>652</v>
      </c>
      <c r="C371" s="47" t="s">
        <v>494</v>
      </c>
      <c r="D371" s="69" t="s">
        <v>832</v>
      </c>
      <c r="E371" s="47">
        <v>3</v>
      </c>
      <c r="F371" s="5" t="s">
        <v>26</v>
      </c>
      <c r="G371" s="5" t="str">
        <f>VLOOKUP('[2]Beban Mengajar'!F371,[2]Dosen!A:B,2)</f>
        <v>Brina Miftahurrohmah, S.Si., M.Si</v>
      </c>
      <c r="J371" s="5"/>
    </row>
    <row r="372" spans="1:10" ht="15.75" customHeight="1" x14ac:dyDescent="0.3">
      <c r="A372" s="5" t="s">
        <v>670</v>
      </c>
      <c r="B372" s="51" t="s">
        <v>901</v>
      </c>
      <c r="C372" s="47" t="s">
        <v>322</v>
      </c>
      <c r="D372" s="5" t="s">
        <v>323</v>
      </c>
      <c r="E372" s="47">
        <v>2</v>
      </c>
      <c r="F372" s="5"/>
      <c r="G372" s="5"/>
      <c r="I372">
        <v>0</v>
      </c>
      <c r="J372" s="5"/>
    </row>
    <row r="373" spans="1:10" ht="16.5" customHeight="1" x14ac:dyDescent="0.3">
      <c r="A373" s="5" t="s">
        <v>670</v>
      </c>
      <c r="B373" s="51" t="s">
        <v>901</v>
      </c>
      <c r="C373" s="47" t="s">
        <v>489</v>
      </c>
      <c r="D373" s="69" t="s">
        <v>837</v>
      </c>
      <c r="E373" s="47">
        <v>3</v>
      </c>
      <c r="F373" s="5" t="s">
        <v>193</v>
      </c>
      <c r="G373" s="5" t="str">
        <f>VLOOKUP('[2]Beban Mengajar'!F373,[2]Dosen!A:B,2)</f>
        <v>Yogantara Setya Dharmawan, S.Kom., M.Sc</v>
      </c>
      <c r="J373" s="5"/>
    </row>
    <row r="374" spans="1:10" ht="15.75" customHeight="1" x14ac:dyDescent="0.3">
      <c r="A374" s="5" t="s">
        <v>670</v>
      </c>
      <c r="B374" s="51" t="s">
        <v>901</v>
      </c>
      <c r="C374" s="47" t="s">
        <v>490</v>
      </c>
      <c r="D374" s="69" t="s">
        <v>838</v>
      </c>
      <c r="E374" s="47">
        <v>3</v>
      </c>
      <c r="F374" s="5" t="s">
        <v>193</v>
      </c>
      <c r="G374" s="5" t="str">
        <f>VLOOKUP('[2]Beban Mengajar'!F374,[2]Dosen!A:B,2)</f>
        <v>Yogantara Setya Dharmawan, S.Kom., M.Sc</v>
      </c>
      <c r="J374" s="5"/>
    </row>
    <row r="375" spans="1:10" ht="16.5" customHeight="1" x14ac:dyDescent="0.3">
      <c r="A375" s="5" t="s">
        <v>670</v>
      </c>
      <c r="B375" s="51" t="s">
        <v>901</v>
      </c>
      <c r="C375" s="47" t="s">
        <v>493</v>
      </c>
      <c r="D375" s="69" t="s">
        <v>840</v>
      </c>
      <c r="E375" s="47">
        <v>3</v>
      </c>
      <c r="F375" s="5"/>
      <c r="G375" s="5"/>
      <c r="H375" s="54" t="s">
        <v>899</v>
      </c>
      <c r="J375" s="5"/>
    </row>
    <row r="376" spans="1:10" x14ac:dyDescent="0.3">
      <c r="A376" s="5" t="s">
        <v>902</v>
      </c>
      <c r="B376" s="20" t="s">
        <v>204</v>
      </c>
      <c r="C376" s="9" t="s">
        <v>356</v>
      </c>
      <c r="D376" s="35" t="s">
        <v>357</v>
      </c>
      <c r="E376" s="9">
        <v>2</v>
      </c>
      <c r="F376" s="2"/>
      <c r="G376" s="5"/>
      <c r="I376">
        <v>35</v>
      </c>
      <c r="J376" s="5"/>
    </row>
    <row r="377" spans="1:10" x14ac:dyDescent="0.3">
      <c r="A377" s="5" t="s">
        <v>902</v>
      </c>
      <c r="B377" s="20" t="s">
        <v>204</v>
      </c>
      <c r="C377" s="9" t="s">
        <v>383</v>
      </c>
      <c r="D377" s="5" t="s">
        <v>384</v>
      </c>
      <c r="E377" s="9">
        <v>2</v>
      </c>
      <c r="F377" s="2" t="s">
        <v>26</v>
      </c>
      <c r="G377" s="5"/>
      <c r="J377" s="5"/>
    </row>
    <row r="378" spans="1:10" x14ac:dyDescent="0.3">
      <c r="A378" s="5" t="s">
        <v>902</v>
      </c>
      <c r="B378" s="20" t="s">
        <v>204</v>
      </c>
      <c r="C378" s="9" t="s">
        <v>378</v>
      </c>
      <c r="D378" s="5" t="s">
        <v>379</v>
      </c>
      <c r="E378" s="9">
        <v>3</v>
      </c>
      <c r="F378" s="2" t="s">
        <v>52</v>
      </c>
      <c r="G378" s="5" t="str">
        <f>VLOOKUP('[2]Beban Mengajar'!F378,[2]Dosen!A:B,2)</f>
        <v>Irni Resmi Apriyanti, S.Ds., M.Ds.</v>
      </c>
      <c r="J378" s="5"/>
    </row>
    <row r="379" spans="1:10" x14ac:dyDescent="0.3">
      <c r="A379" s="5" t="s">
        <v>902</v>
      </c>
      <c r="B379" s="20" t="s">
        <v>204</v>
      </c>
      <c r="C379" s="2" t="s">
        <v>380</v>
      </c>
      <c r="D379" s="5" t="s">
        <v>381</v>
      </c>
      <c r="E379" s="9">
        <v>3</v>
      </c>
      <c r="F379" s="2" t="s">
        <v>176</v>
      </c>
      <c r="G379" s="5" t="str">
        <f>VLOOKUP('[2]Beban Mengajar'!F379,[2]Dosen!A:B,2)</f>
        <v>Trias Widha Andari, S.Sn., M.Ds.</v>
      </c>
      <c r="J379" s="5"/>
    </row>
    <row r="380" spans="1:10" ht="15.6" x14ac:dyDescent="0.3">
      <c r="A380" s="5" t="s">
        <v>902</v>
      </c>
      <c r="B380" s="20" t="s">
        <v>204</v>
      </c>
      <c r="C380" s="9" t="s">
        <v>369</v>
      </c>
      <c r="D380" s="5" t="s">
        <v>845</v>
      </c>
      <c r="E380" s="9">
        <v>3</v>
      </c>
      <c r="F380" s="2" t="s">
        <v>150</v>
      </c>
      <c r="G380" s="5" t="str">
        <f>VLOOKUP('[2]Beban Mengajar'!F380,[2]Dosen!A:B,2)</f>
        <v>Rizky Noviasri, S.Sn., M.Ds.</v>
      </c>
      <c r="J380" s="5"/>
    </row>
    <row r="381" spans="1:10" ht="15.6" x14ac:dyDescent="0.3">
      <c r="A381" s="5" t="s">
        <v>902</v>
      </c>
      <c r="B381" s="20" t="s">
        <v>204</v>
      </c>
      <c r="C381" s="49" t="s">
        <v>358</v>
      </c>
      <c r="D381" s="5" t="s">
        <v>846</v>
      </c>
      <c r="E381" s="50">
        <v>2</v>
      </c>
      <c r="F381" s="2" t="s">
        <v>152</v>
      </c>
      <c r="G381" s="5" t="str">
        <f>VLOOKUP('[2]Beban Mengajar'!F381,[2]Dosen!A:B,2)</f>
        <v>Roostikasari Nugraheni, S.Hum., M.Med.Kom.</v>
      </c>
      <c r="J381" s="5"/>
    </row>
    <row r="382" spans="1:10" x14ac:dyDescent="0.3">
      <c r="A382" s="5" t="s">
        <v>902</v>
      </c>
      <c r="B382" s="20" t="s">
        <v>204</v>
      </c>
      <c r="C382" s="9" t="s">
        <v>382</v>
      </c>
      <c r="D382" s="5" t="s">
        <v>847</v>
      </c>
      <c r="E382" s="9">
        <v>3</v>
      </c>
      <c r="F382" s="2" t="s">
        <v>168</v>
      </c>
      <c r="G382" s="5" t="str">
        <f>VLOOKUP('[2]Beban Mengajar'!F382,[2]Dosen!A:B,2)</f>
        <v>Tyas Ajeng Nastiti, S.T., M.Ds.</v>
      </c>
      <c r="J382" s="5"/>
    </row>
    <row r="383" spans="1:10" x14ac:dyDescent="0.3">
      <c r="A383" s="5" t="s">
        <v>902</v>
      </c>
      <c r="B383" s="51" t="s">
        <v>203</v>
      </c>
      <c r="C383" s="9" t="s">
        <v>746</v>
      </c>
      <c r="D383" s="5" t="s">
        <v>848</v>
      </c>
      <c r="E383" s="50">
        <v>2</v>
      </c>
      <c r="F383" s="2"/>
      <c r="G383" s="5"/>
      <c r="J383" s="5"/>
    </row>
    <row r="384" spans="1:10" x14ac:dyDescent="0.3">
      <c r="A384" s="5" t="s">
        <v>902</v>
      </c>
      <c r="B384" s="51" t="s">
        <v>203</v>
      </c>
      <c r="C384" s="9" t="s">
        <v>371</v>
      </c>
      <c r="D384" s="5" t="s">
        <v>849</v>
      </c>
      <c r="E384" s="50">
        <v>1.5</v>
      </c>
      <c r="F384" s="2" t="s">
        <v>148</v>
      </c>
      <c r="G384" s="5"/>
      <c r="H384" t="s">
        <v>897</v>
      </c>
      <c r="J384" s="5"/>
    </row>
    <row r="385" spans="1:10" x14ac:dyDescent="0.3">
      <c r="A385" s="5" t="s">
        <v>902</v>
      </c>
      <c r="B385" s="51" t="s">
        <v>203</v>
      </c>
      <c r="C385" s="9" t="s">
        <v>371</v>
      </c>
      <c r="D385" s="5" t="s">
        <v>849</v>
      </c>
      <c r="E385" s="50">
        <v>1.5</v>
      </c>
      <c r="F385" s="2" t="s">
        <v>176</v>
      </c>
      <c r="G385" s="5"/>
      <c r="H385" t="s">
        <v>897</v>
      </c>
      <c r="J385" s="5"/>
    </row>
    <row r="386" spans="1:10" x14ac:dyDescent="0.3">
      <c r="A386" s="5" t="s">
        <v>902</v>
      </c>
      <c r="B386" s="51" t="s">
        <v>203</v>
      </c>
      <c r="C386" s="9" t="s">
        <v>365</v>
      </c>
      <c r="D386" s="5" t="s">
        <v>850</v>
      </c>
      <c r="E386" s="50">
        <v>3</v>
      </c>
      <c r="F386" s="2" t="s">
        <v>132</v>
      </c>
      <c r="G386" s="5" t="str">
        <f>VLOOKUP('[2]Beban Mengajar'!F386,[2]Dosen!A:B,2)</f>
        <v>Nova Ridho Sisprasojo, S.Sn., M.Ds.</v>
      </c>
      <c r="J386" s="5"/>
    </row>
    <row r="387" spans="1:10" x14ac:dyDescent="0.3">
      <c r="A387" s="5" t="s">
        <v>902</v>
      </c>
      <c r="B387" s="51" t="s">
        <v>203</v>
      </c>
      <c r="C387" s="9" t="s">
        <v>366</v>
      </c>
      <c r="D387" s="5" t="s">
        <v>851</v>
      </c>
      <c r="E387" s="50">
        <v>3</v>
      </c>
      <c r="F387" s="2" t="s">
        <v>150</v>
      </c>
      <c r="G387" s="5" t="str">
        <f>VLOOKUP('[2]Beban Mengajar'!F387,[2]Dosen!A:B,2)</f>
        <v>Rizky Noviasri, S.Sn., M.Ds.</v>
      </c>
      <c r="J387" s="5"/>
    </row>
    <row r="388" spans="1:10" x14ac:dyDescent="0.3">
      <c r="A388" s="5" t="s">
        <v>902</v>
      </c>
      <c r="B388" s="51" t="s">
        <v>203</v>
      </c>
      <c r="C388" s="9" t="s">
        <v>390</v>
      </c>
      <c r="D388" s="5" t="s">
        <v>391</v>
      </c>
      <c r="E388" s="50">
        <v>3</v>
      </c>
      <c r="F388" s="2" t="s">
        <v>168</v>
      </c>
      <c r="G388" s="5" t="str">
        <f>VLOOKUP('[2]Beban Mengajar'!F388,[2]Dosen!A:B,2)</f>
        <v>Tyas Ajeng Nastiti, S.T., M.Ds.</v>
      </c>
      <c r="J388" s="5"/>
    </row>
    <row r="389" spans="1:10" x14ac:dyDescent="0.3">
      <c r="A389" s="5" t="s">
        <v>902</v>
      </c>
      <c r="B389" s="51" t="s">
        <v>203</v>
      </c>
      <c r="C389" s="9" t="s">
        <v>376</v>
      </c>
      <c r="D389" s="5" t="s">
        <v>377</v>
      </c>
      <c r="E389" s="50">
        <v>3</v>
      </c>
      <c r="F389" s="2" t="s">
        <v>132</v>
      </c>
      <c r="G389" s="5" t="str">
        <f>VLOOKUP('[2]Beban Mengajar'!F389,[2]Dosen!A:B,2)</f>
        <v>Nova Ridho Sisprasojo, S.Sn., M.Ds.</v>
      </c>
      <c r="J389" s="5"/>
    </row>
    <row r="390" spans="1:10" ht="15.75" customHeight="1" x14ac:dyDescent="0.3">
      <c r="A390" s="5" t="s">
        <v>902</v>
      </c>
      <c r="B390" s="51" t="s">
        <v>203</v>
      </c>
      <c r="C390" s="9" t="s">
        <v>387</v>
      </c>
      <c r="D390" s="5" t="s">
        <v>388</v>
      </c>
      <c r="E390" s="50">
        <v>2</v>
      </c>
      <c r="F390" s="2" t="s">
        <v>152</v>
      </c>
      <c r="G390" s="5" t="str">
        <f>VLOOKUP('[2]Beban Mengajar'!F390,[2]Dosen!A:B,2)</f>
        <v>Roostikasari Nugraheni, S.Hum., M.Med.Kom.</v>
      </c>
      <c r="J390" s="5"/>
    </row>
    <row r="391" spans="1:10" ht="15.75" customHeight="1" x14ac:dyDescent="0.3">
      <c r="A391" s="5" t="s">
        <v>902</v>
      </c>
      <c r="B391" s="51" t="s">
        <v>205</v>
      </c>
      <c r="C391" s="9" t="s">
        <v>328</v>
      </c>
      <c r="D391" s="5" t="s">
        <v>329</v>
      </c>
      <c r="E391" s="50">
        <v>2</v>
      </c>
      <c r="F391" s="2" t="s">
        <v>150</v>
      </c>
      <c r="G391" s="5"/>
      <c r="H391" t="s">
        <v>903</v>
      </c>
      <c r="J391" s="5"/>
    </row>
    <row r="392" spans="1:10" ht="15.75" customHeight="1" x14ac:dyDescent="0.3">
      <c r="A392" s="5" t="s">
        <v>902</v>
      </c>
      <c r="B392" s="51" t="s">
        <v>205</v>
      </c>
      <c r="C392" s="9" t="s">
        <v>852</v>
      </c>
      <c r="D392" s="5" t="s">
        <v>853</v>
      </c>
      <c r="E392" s="50">
        <v>3</v>
      </c>
      <c r="F392" s="2" t="s">
        <v>132</v>
      </c>
      <c r="G392" s="5" t="str">
        <f>VLOOKUP('[2]Beban Mengajar'!F392,[2]Dosen!A:B,2)</f>
        <v>Nova Ridho Sisprasojo, S.Sn., M.Ds.</v>
      </c>
      <c r="J392" s="5"/>
    </row>
    <row r="393" spans="1:10" ht="15.75" customHeight="1" x14ac:dyDescent="0.3">
      <c r="A393" s="5" t="s">
        <v>902</v>
      </c>
      <c r="B393" s="51" t="s">
        <v>205</v>
      </c>
      <c r="C393" s="9" t="s">
        <v>854</v>
      </c>
      <c r="D393" s="5" t="s">
        <v>855</v>
      </c>
      <c r="E393" s="50">
        <v>3</v>
      </c>
      <c r="F393" s="2" t="s">
        <v>168</v>
      </c>
      <c r="G393" s="5" t="str">
        <f>VLOOKUP('[2]Beban Mengajar'!F393,[2]Dosen!A:B,2)</f>
        <v>Tyas Ajeng Nastiti, S.T., M.Ds.</v>
      </c>
      <c r="J393" s="5"/>
    </row>
    <row r="394" spans="1:10" ht="15.75" customHeight="1" x14ac:dyDescent="0.3">
      <c r="A394" s="5" t="s">
        <v>902</v>
      </c>
      <c r="B394" s="51" t="s">
        <v>205</v>
      </c>
      <c r="C394" s="9" t="s">
        <v>363</v>
      </c>
      <c r="D394" s="5" t="s">
        <v>364</v>
      </c>
      <c r="E394" s="50">
        <v>3</v>
      </c>
      <c r="F394" s="2" t="s">
        <v>52</v>
      </c>
      <c r="G394" s="5" t="str">
        <f>VLOOKUP('[2]Beban Mengajar'!F394,[2]Dosen!A:B,2)</f>
        <v>Irni Resmi Apriyanti, S.Ds., M.Ds.</v>
      </c>
      <c r="J394" s="5"/>
    </row>
    <row r="395" spans="1:10" x14ac:dyDescent="0.3">
      <c r="A395" s="5" t="s">
        <v>902</v>
      </c>
      <c r="B395" s="51" t="s">
        <v>205</v>
      </c>
      <c r="C395" s="9" t="s">
        <v>361</v>
      </c>
      <c r="D395" s="5" t="s">
        <v>362</v>
      </c>
      <c r="E395" s="50">
        <v>3</v>
      </c>
      <c r="F395" s="2" t="s">
        <v>52</v>
      </c>
      <c r="G395" s="5" t="str">
        <f>VLOOKUP('[2]Beban Mengajar'!F395,[2]Dosen!A:B,2)</f>
        <v>Irni Resmi Apriyanti, S.Ds., M.Ds.</v>
      </c>
      <c r="J395" s="5"/>
    </row>
    <row r="396" spans="1:10" x14ac:dyDescent="0.3">
      <c r="A396" s="5" t="s">
        <v>902</v>
      </c>
      <c r="B396" s="51" t="s">
        <v>205</v>
      </c>
      <c r="C396" s="9" t="s">
        <v>372</v>
      </c>
      <c r="D396" s="5" t="s">
        <v>373</v>
      </c>
      <c r="E396" s="50">
        <v>2</v>
      </c>
      <c r="F396" s="2" t="s">
        <v>152</v>
      </c>
      <c r="G396" s="5" t="str">
        <f>VLOOKUP('[2]Beban Mengajar'!F396,[2]Dosen!A:B,2)</f>
        <v>Roostikasari Nugraheni, S.Hum., M.Med.Kom.</v>
      </c>
      <c r="J396" s="5"/>
    </row>
    <row r="397" spans="1:10" x14ac:dyDescent="0.3">
      <c r="A397" s="5" t="s">
        <v>902</v>
      </c>
      <c r="B397" s="51" t="s">
        <v>205</v>
      </c>
      <c r="C397" s="9" t="s">
        <v>370</v>
      </c>
      <c r="D397" s="5" t="s">
        <v>856</v>
      </c>
      <c r="E397" s="50">
        <v>3</v>
      </c>
      <c r="F397" s="2" t="s">
        <v>168</v>
      </c>
      <c r="G397" s="5" t="str">
        <f>VLOOKUP('[2]Beban Mengajar'!F397,[2]Dosen!A:B,2)</f>
        <v>Tyas Ajeng Nastiti, S.T., M.Ds.</v>
      </c>
      <c r="J397" s="5"/>
    </row>
    <row r="398" spans="1:10" x14ac:dyDescent="0.3">
      <c r="A398" s="5" t="s">
        <v>902</v>
      </c>
      <c r="B398" s="51" t="s">
        <v>648</v>
      </c>
      <c r="C398" s="9" t="s">
        <v>352</v>
      </c>
      <c r="D398" s="55" t="s">
        <v>868</v>
      </c>
      <c r="E398" s="50">
        <v>2</v>
      </c>
      <c r="F398" s="2"/>
      <c r="G398" s="5"/>
      <c r="I398">
        <v>31</v>
      </c>
      <c r="J398" s="5"/>
    </row>
    <row r="399" spans="1:10" x14ac:dyDescent="0.3">
      <c r="A399" s="5" t="s">
        <v>902</v>
      </c>
      <c r="B399" s="51" t="s">
        <v>648</v>
      </c>
      <c r="C399" s="9" t="s">
        <v>389</v>
      </c>
      <c r="D399" s="5" t="s">
        <v>857</v>
      </c>
      <c r="E399" s="50">
        <v>1.5</v>
      </c>
      <c r="F399" s="2" t="s">
        <v>176</v>
      </c>
      <c r="G399" s="5" t="str">
        <f>VLOOKUP('[2]Beban Mengajar'!F399,[2]Dosen!A:B,2)</f>
        <v>Trias Widha Andari, S.Sn., M.Ds.</v>
      </c>
      <c r="J399" s="5"/>
    </row>
    <row r="400" spans="1:10" x14ac:dyDescent="0.3">
      <c r="A400" s="5" t="s">
        <v>902</v>
      </c>
      <c r="B400" s="51" t="s">
        <v>904</v>
      </c>
      <c r="C400" s="9" t="s">
        <v>389</v>
      </c>
      <c r="D400" s="5" t="s">
        <v>857</v>
      </c>
      <c r="E400" s="50">
        <v>1.5</v>
      </c>
      <c r="F400" s="2" t="s">
        <v>52</v>
      </c>
      <c r="G400" s="5" t="str">
        <f>VLOOKUP('[2]Beban Mengajar'!F400,[2]Dosen!A:B,2)</f>
        <v>Irni Resmi Apriyanti, S.Ds., M.Ds.</v>
      </c>
      <c r="J400" s="5"/>
    </row>
    <row r="401" spans="1:10" x14ac:dyDescent="0.3">
      <c r="A401" s="5" t="s">
        <v>902</v>
      </c>
      <c r="B401" s="51" t="s">
        <v>648</v>
      </c>
      <c r="C401" s="9" t="s">
        <v>359</v>
      </c>
      <c r="D401" s="5" t="s">
        <v>360</v>
      </c>
      <c r="E401" s="50">
        <v>3</v>
      </c>
      <c r="F401" s="2" t="s">
        <v>168</v>
      </c>
      <c r="G401" s="5" t="str">
        <f>VLOOKUP('[2]Beban Mengajar'!F401,[2]Dosen!A:B,2)</f>
        <v>Tyas Ajeng Nastiti, S.T., M.Ds.</v>
      </c>
      <c r="J401" s="5"/>
    </row>
    <row r="402" spans="1:10" x14ac:dyDescent="0.3">
      <c r="A402" s="5" t="s">
        <v>902</v>
      </c>
      <c r="B402" s="51" t="s">
        <v>648</v>
      </c>
      <c r="C402" s="9" t="s">
        <v>367</v>
      </c>
      <c r="D402" s="5" t="s">
        <v>368</v>
      </c>
      <c r="E402" s="50">
        <v>3</v>
      </c>
      <c r="F402" s="2" t="s">
        <v>52</v>
      </c>
      <c r="G402" s="5" t="str">
        <f>VLOOKUP('[2]Beban Mengajar'!F402,[2]Dosen!A:B,2)</f>
        <v>Irni Resmi Apriyanti, S.Ds., M.Ds.</v>
      </c>
      <c r="J402" s="5"/>
    </row>
    <row r="403" spans="1:10" x14ac:dyDescent="0.3">
      <c r="A403" s="5" t="s">
        <v>902</v>
      </c>
      <c r="B403" s="51" t="s">
        <v>648</v>
      </c>
      <c r="C403" s="9" t="s">
        <v>374</v>
      </c>
      <c r="D403" s="5" t="s">
        <v>375</v>
      </c>
      <c r="E403" s="50">
        <v>3</v>
      </c>
      <c r="F403" s="2" t="s">
        <v>150</v>
      </c>
      <c r="G403" s="5" t="str">
        <f>VLOOKUP('[2]Beban Mengajar'!F403,[2]Dosen!A:B,2)</f>
        <v>Rizky Noviasri, S.Sn., M.Ds.</v>
      </c>
      <c r="J403" s="5"/>
    </row>
    <row r="404" spans="1:10" x14ac:dyDescent="0.3">
      <c r="A404" s="5" t="s">
        <v>902</v>
      </c>
      <c r="B404" s="51" t="s">
        <v>648</v>
      </c>
      <c r="C404" s="9" t="s">
        <v>392</v>
      </c>
      <c r="D404" s="5" t="s">
        <v>393</v>
      </c>
      <c r="E404" s="50">
        <v>3</v>
      </c>
      <c r="F404" s="2" t="s">
        <v>176</v>
      </c>
      <c r="G404" s="5" t="str">
        <f>VLOOKUP('[2]Beban Mengajar'!F404,[2]Dosen!A:B,2)</f>
        <v>Trias Widha Andari, S.Sn., M.Ds.</v>
      </c>
      <c r="J404" s="5"/>
    </row>
    <row r="405" spans="1:10" x14ac:dyDescent="0.3">
      <c r="A405" s="5" t="s">
        <v>902</v>
      </c>
      <c r="B405" s="51" t="s">
        <v>648</v>
      </c>
      <c r="C405" s="70" t="s">
        <v>801</v>
      </c>
      <c r="D405" s="5" t="s">
        <v>610</v>
      </c>
      <c r="E405" s="50">
        <v>2</v>
      </c>
      <c r="F405" s="2"/>
      <c r="G405" s="5"/>
      <c r="J405" s="5"/>
    </row>
    <row r="406" spans="1:10" x14ac:dyDescent="0.3">
      <c r="A406" s="5" t="s">
        <v>902</v>
      </c>
      <c r="B406" s="51" t="s">
        <v>648</v>
      </c>
      <c r="C406" s="70" t="s">
        <v>858</v>
      </c>
      <c r="D406" s="5" t="s">
        <v>859</v>
      </c>
      <c r="E406" s="50">
        <v>6</v>
      </c>
      <c r="F406" s="2"/>
      <c r="G406" s="5"/>
      <c r="J406" s="5"/>
    </row>
    <row r="407" spans="1:10" x14ac:dyDescent="0.3">
      <c r="A407" s="5" t="s">
        <v>902</v>
      </c>
      <c r="B407" s="20" t="s">
        <v>905</v>
      </c>
      <c r="C407" s="9" t="s">
        <v>860</v>
      </c>
      <c r="D407" s="5" t="s">
        <v>643</v>
      </c>
      <c r="E407" s="50">
        <v>3</v>
      </c>
      <c r="F407" s="2" t="s">
        <v>176</v>
      </c>
      <c r="G407" s="5" t="str">
        <f>VLOOKUP('[2]Beban Mengajar'!F407,[2]Dosen!A:B,2)</f>
        <v>Trias Widha Andari, S.Sn., M.Ds.</v>
      </c>
      <c r="J407" s="5"/>
    </row>
    <row r="408" spans="1:10" x14ac:dyDescent="0.3">
      <c r="A408" s="5" t="s">
        <v>902</v>
      </c>
      <c r="B408" s="20" t="s">
        <v>905</v>
      </c>
      <c r="C408" s="9" t="s">
        <v>385</v>
      </c>
      <c r="D408" s="5" t="s">
        <v>386</v>
      </c>
      <c r="E408" s="50">
        <v>2</v>
      </c>
      <c r="F408" s="2" t="s">
        <v>150</v>
      </c>
      <c r="G408" s="5" t="str">
        <f>VLOOKUP('[2]Beban Mengajar'!F408,[2]Dosen!A:B,2)</f>
        <v>Rizky Noviasri, S.Sn., M.Ds.</v>
      </c>
      <c r="J408" s="5"/>
    </row>
    <row r="409" spans="1:10" x14ac:dyDescent="0.3">
      <c r="A409" s="5" t="s">
        <v>902</v>
      </c>
      <c r="B409" s="20" t="s">
        <v>905</v>
      </c>
      <c r="C409" s="9" t="s">
        <v>861</v>
      </c>
      <c r="D409" s="5" t="s">
        <v>862</v>
      </c>
      <c r="E409" s="2">
        <v>3</v>
      </c>
      <c r="F409" s="2" t="s">
        <v>132</v>
      </c>
      <c r="G409" s="5" t="str">
        <f>VLOOKUP('[2]Beban Mengajar'!F409,[2]Dosen!A:B,2)</f>
        <v>Nova Ridho Sisprasojo, S.Sn., M.Ds.</v>
      </c>
      <c r="J409" s="5"/>
    </row>
    <row r="410" spans="1:10" x14ac:dyDescent="0.3">
      <c r="A410"/>
      <c r="B410" s="35" t="s">
        <v>906</v>
      </c>
      <c r="C410" s="23"/>
      <c r="D410" s="71" t="s">
        <v>417</v>
      </c>
      <c r="E410" s="3">
        <v>2</v>
      </c>
      <c r="F410" s="3" t="s">
        <v>50</v>
      </c>
      <c r="G410"/>
      <c r="J410" s="5"/>
    </row>
    <row r="411" spans="1:10" ht="15" customHeight="1" x14ac:dyDescent="0.3">
      <c r="A411"/>
      <c r="B411" s="35" t="s">
        <v>907</v>
      </c>
      <c r="C411" s="23"/>
      <c r="D411" s="71" t="s">
        <v>417</v>
      </c>
      <c r="E411" s="3">
        <v>2</v>
      </c>
      <c r="F411" s="3" t="s">
        <v>195</v>
      </c>
      <c r="G411"/>
      <c r="J411" s="5"/>
    </row>
    <row r="412" spans="1:10" ht="15" customHeight="1" x14ac:dyDescent="0.3">
      <c r="A412"/>
      <c r="B412"/>
      <c r="C412"/>
      <c r="D412"/>
      <c r="E412"/>
      <c r="F412"/>
      <c r="G412"/>
      <c r="J412" s="5"/>
    </row>
    <row r="413" spans="1:10" ht="15" customHeight="1" x14ac:dyDescent="0.3">
      <c r="A413" s="35" t="s">
        <v>697</v>
      </c>
      <c r="B413">
        <v>3</v>
      </c>
      <c r="C413">
        <f>SUMIF($D$2:$D$411,A413,$I$2:$I$411)</f>
        <v>306</v>
      </c>
      <c r="D413" s="72">
        <f>C413/B413</f>
        <v>102</v>
      </c>
      <c r="E413"/>
      <c r="F413"/>
      <c r="G413"/>
      <c r="J413" s="5"/>
    </row>
    <row r="414" spans="1:10" ht="15" customHeight="1" x14ac:dyDescent="0.35">
      <c r="A414" s="9"/>
      <c r="B414" s="12"/>
      <c r="C414" s="15"/>
      <c r="D414" s="8"/>
      <c r="E414" s="15"/>
      <c r="F414" s="5"/>
      <c r="G414" s="29"/>
      <c r="H414" s="5"/>
      <c r="I414" s="5"/>
      <c r="J414" s="5"/>
    </row>
    <row r="415" spans="1:10" ht="15" customHeight="1" x14ac:dyDescent="0.35">
      <c r="A415" s="9"/>
      <c r="B415" s="12"/>
      <c r="C415" s="15"/>
      <c r="D415" s="8"/>
      <c r="E415" s="15"/>
      <c r="F415" s="5"/>
      <c r="G415" s="29"/>
      <c r="H415" s="5"/>
      <c r="I415" s="5"/>
      <c r="J415" s="5"/>
    </row>
    <row r="416" spans="1:10" ht="15.75" customHeight="1" x14ac:dyDescent="0.35">
      <c r="A416" s="9"/>
      <c r="B416" s="12"/>
      <c r="C416" s="15"/>
      <c r="D416" s="8"/>
      <c r="E416" s="15"/>
      <c r="F416" s="5"/>
      <c r="G416" s="29"/>
      <c r="H416" s="5"/>
      <c r="I416" s="5"/>
      <c r="J416" s="5"/>
    </row>
    <row r="417" spans="1:10" ht="15" customHeight="1" x14ac:dyDescent="0.35">
      <c r="A417" s="9"/>
      <c r="B417" s="12"/>
      <c r="C417" s="15"/>
      <c r="D417" s="8"/>
      <c r="E417" s="15"/>
      <c r="F417" s="5"/>
      <c r="G417" s="29"/>
      <c r="H417" s="5"/>
      <c r="I417" s="5"/>
      <c r="J417" s="5"/>
    </row>
    <row r="418" spans="1:10" ht="15" customHeight="1" x14ac:dyDescent="0.35">
      <c r="A418" s="9"/>
      <c r="B418" s="9"/>
      <c r="C418" s="15"/>
      <c r="D418" s="8"/>
      <c r="E418" s="15"/>
      <c r="F418" s="5"/>
      <c r="G418" s="29"/>
      <c r="H418" s="5"/>
      <c r="I418" s="5"/>
      <c r="J418" s="5"/>
    </row>
    <row r="419" spans="1:10" ht="15" customHeight="1" x14ac:dyDescent="0.35">
      <c r="A419" s="9"/>
      <c r="B419" s="9"/>
      <c r="C419" s="15"/>
      <c r="D419" s="8"/>
      <c r="E419" s="15"/>
      <c r="F419" s="5"/>
      <c r="G419" s="29"/>
      <c r="H419" s="5"/>
      <c r="I419" s="5"/>
      <c r="J419" s="5"/>
    </row>
    <row r="420" spans="1:10" ht="15" customHeight="1" x14ac:dyDescent="0.35">
      <c r="A420" s="9"/>
      <c r="B420" s="9"/>
      <c r="C420" s="15"/>
      <c r="D420" s="8"/>
      <c r="E420" s="15"/>
      <c r="F420" s="5"/>
      <c r="G420" s="29"/>
      <c r="H420" s="5"/>
      <c r="I420" s="5"/>
      <c r="J420" s="5"/>
    </row>
    <row r="421" spans="1:10" ht="15" customHeight="1" x14ac:dyDescent="0.35">
      <c r="A421" s="9"/>
      <c r="B421" s="9"/>
      <c r="C421" s="15"/>
      <c r="D421" s="8"/>
      <c r="E421" s="15"/>
      <c r="F421" s="5"/>
      <c r="G421" s="29"/>
      <c r="H421" s="5"/>
      <c r="I421" s="5"/>
      <c r="J421" s="5"/>
    </row>
    <row r="422" spans="1:10" ht="15" customHeight="1" x14ac:dyDescent="0.35">
      <c r="A422" s="9"/>
      <c r="B422" s="9"/>
      <c r="C422" s="15"/>
      <c r="D422" s="8"/>
      <c r="E422" s="15"/>
      <c r="F422" s="19"/>
      <c r="G422" s="29"/>
      <c r="H422" s="5"/>
      <c r="I422" s="5"/>
      <c r="J422" s="5"/>
    </row>
    <row r="423" spans="1:10" ht="15.75" customHeight="1" x14ac:dyDescent="0.35">
      <c r="A423" s="9"/>
      <c r="B423" s="9"/>
      <c r="C423" s="15"/>
      <c r="D423" s="8"/>
      <c r="E423" s="15"/>
      <c r="F423" s="19"/>
      <c r="G423" s="29"/>
      <c r="H423" s="5"/>
      <c r="I423" s="5"/>
      <c r="J423" s="5"/>
    </row>
    <row r="424" spans="1:10" ht="15" customHeight="1" x14ac:dyDescent="0.35">
      <c r="A424" s="9"/>
      <c r="B424" s="12"/>
      <c r="C424" s="15"/>
      <c r="D424" s="8"/>
      <c r="E424" s="15"/>
      <c r="F424" s="5"/>
      <c r="G424" s="29"/>
      <c r="H424" s="5"/>
      <c r="I424" s="5"/>
      <c r="J424" s="5"/>
    </row>
    <row r="425" spans="1:10" ht="15" customHeight="1" x14ac:dyDescent="0.35">
      <c r="A425" s="9"/>
      <c r="B425" s="12"/>
      <c r="C425" s="15"/>
      <c r="D425" s="8"/>
      <c r="E425" s="15"/>
      <c r="F425" s="19"/>
      <c r="G425" s="29"/>
      <c r="H425" s="5"/>
      <c r="I425" s="5"/>
      <c r="J425" s="5"/>
    </row>
    <row r="426" spans="1:10" ht="15" customHeight="1" x14ac:dyDescent="0.35">
      <c r="A426" s="9"/>
      <c r="B426" s="9"/>
      <c r="C426" s="15"/>
      <c r="D426" s="8"/>
      <c r="E426" s="15"/>
      <c r="F426" s="5"/>
      <c r="G426" s="29"/>
      <c r="H426" s="5"/>
      <c r="I426" s="5"/>
      <c r="J426" s="5"/>
    </row>
    <row r="427" spans="1:10" ht="15" customHeight="1" x14ac:dyDescent="0.35">
      <c r="A427" s="9"/>
      <c r="B427" s="9"/>
      <c r="C427" s="15"/>
      <c r="D427" s="8"/>
      <c r="E427" s="15"/>
      <c r="F427" s="5"/>
      <c r="G427" s="29"/>
      <c r="H427" s="5"/>
      <c r="I427" s="5"/>
      <c r="J427" s="5"/>
    </row>
    <row r="428" spans="1:10" ht="15" customHeight="1" x14ac:dyDescent="0.35">
      <c r="A428" s="9"/>
      <c r="B428" s="12"/>
      <c r="C428" s="15"/>
      <c r="D428" s="8"/>
      <c r="E428" s="15"/>
      <c r="F428" s="5"/>
      <c r="G428" s="29"/>
      <c r="H428" s="5"/>
      <c r="I428" s="5"/>
      <c r="J428" s="5"/>
    </row>
    <row r="429" spans="1:10" ht="15" customHeight="1" x14ac:dyDescent="0.35">
      <c r="A429" s="9"/>
      <c r="B429" s="12"/>
      <c r="C429" s="15"/>
      <c r="D429" s="8"/>
      <c r="E429" s="15"/>
      <c r="F429" s="5"/>
      <c r="G429" s="29"/>
      <c r="H429" s="5"/>
      <c r="I429" s="5"/>
      <c r="J429" s="5"/>
    </row>
    <row r="430" spans="1:10" ht="15" customHeight="1" x14ac:dyDescent="0.35">
      <c r="A430" s="9"/>
      <c r="B430" s="12"/>
      <c r="C430" s="15"/>
      <c r="D430" s="8"/>
      <c r="E430" s="15"/>
      <c r="F430" s="5"/>
      <c r="G430" s="29"/>
      <c r="H430" s="5"/>
      <c r="I430" s="5"/>
      <c r="J430" s="5"/>
    </row>
    <row r="431" spans="1:10" ht="15" customHeight="1" x14ac:dyDescent="0.35">
      <c r="A431" s="9"/>
      <c r="B431" s="12"/>
      <c r="C431" s="15"/>
      <c r="D431" s="8"/>
      <c r="E431" s="15"/>
      <c r="F431" s="5"/>
      <c r="G431" s="29"/>
      <c r="H431" s="5"/>
      <c r="I431" s="5"/>
      <c r="J431" s="5"/>
    </row>
    <row r="432" spans="1:10" ht="15" customHeight="1" x14ac:dyDescent="0.35">
      <c r="A432" s="9"/>
      <c r="B432" s="12"/>
      <c r="C432" s="15"/>
      <c r="D432" s="8"/>
      <c r="E432" s="15"/>
      <c r="F432" s="5"/>
      <c r="G432" s="29"/>
      <c r="H432" s="5"/>
      <c r="I432" s="5"/>
      <c r="J432" s="5"/>
    </row>
    <row r="433" spans="1:10" ht="15" customHeight="1" x14ac:dyDescent="0.35">
      <c r="A433" s="9"/>
      <c r="B433" s="12"/>
      <c r="C433" s="15"/>
      <c r="D433" s="8"/>
      <c r="E433" s="15"/>
      <c r="F433" s="5"/>
      <c r="G433" s="29"/>
      <c r="H433" s="5"/>
      <c r="I433" s="5"/>
      <c r="J433" s="5"/>
    </row>
    <row r="434" spans="1:10" ht="15" customHeight="1" x14ac:dyDescent="0.35">
      <c r="A434" s="9"/>
      <c r="B434" s="12"/>
      <c r="C434" s="15"/>
      <c r="D434" s="8"/>
      <c r="E434" s="15"/>
      <c r="F434" s="5"/>
      <c r="G434" s="29"/>
      <c r="H434" s="5"/>
      <c r="I434" s="5"/>
      <c r="J434" s="5"/>
    </row>
    <row r="435" spans="1:10" ht="15" customHeight="1" x14ac:dyDescent="0.35">
      <c r="A435" s="9"/>
      <c r="B435" s="12"/>
      <c r="C435" s="15"/>
      <c r="D435" s="8"/>
      <c r="E435" s="15"/>
      <c r="F435" s="5"/>
      <c r="G435" s="29"/>
      <c r="H435" s="5"/>
      <c r="I435" s="5"/>
      <c r="J435" s="5"/>
    </row>
    <row r="436" spans="1:10" ht="15" customHeight="1" x14ac:dyDescent="0.35">
      <c r="A436" s="9"/>
      <c r="B436" s="12"/>
      <c r="C436" s="15"/>
      <c r="D436" s="8"/>
      <c r="E436" s="15"/>
      <c r="F436" s="5"/>
      <c r="G436" s="29"/>
      <c r="H436" s="5"/>
      <c r="I436" s="5"/>
      <c r="J436" s="5"/>
    </row>
    <row r="437" spans="1:10" ht="15" customHeight="1" x14ac:dyDescent="0.35">
      <c r="A437" s="9"/>
      <c r="B437" s="12"/>
      <c r="C437" s="15"/>
      <c r="D437" s="8"/>
      <c r="E437" s="15"/>
      <c r="F437" s="5"/>
      <c r="G437" s="29"/>
      <c r="H437" s="5"/>
      <c r="I437" s="5"/>
      <c r="J437" s="5"/>
    </row>
    <row r="438" spans="1:10" ht="15" customHeight="1" x14ac:dyDescent="0.35">
      <c r="A438" s="9"/>
      <c r="B438" s="12"/>
      <c r="C438" s="15"/>
      <c r="D438" s="8"/>
      <c r="E438" s="15"/>
      <c r="F438" s="5"/>
      <c r="G438" s="29"/>
      <c r="H438" s="5"/>
      <c r="I438" s="5"/>
      <c r="J438" s="5"/>
    </row>
    <row r="439" spans="1:10" ht="15" customHeight="1" x14ac:dyDescent="0.35">
      <c r="A439" s="9"/>
      <c r="B439" s="12"/>
      <c r="C439" s="15"/>
      <c r="D439" s="8"/>
      <c r="E439" s="15"/>
      <c r="F439" s="5"/>
      <c r="G439" s="29"/>
      <c r="H439" s="5"/>
      <c r="I439" s="5"/>
      <c r="J439" s="5"/>
    </row>
    <row r="440" spans="1:10" ht="15.75" customHeight="1" x14ac:dyDescent="0.35">
      <c r="A440" s="9"/>
      <c r="B440" s="9"/>
      <c r="C440" s="15"/>
      <c r="D440" s="8"/>
      <c r="E440" s="15"/>
      <c r="F440" s="5"/>
      <c r="G440" s="29"/>
      <c r="H440" s="5"/>
      <c r="I440" s="5"/>
      <c r="J440" s="5"/>
    </row>
    <row r="441" spans="1:10" ht="15" customHeight="1" x14ac:dyDescent="0.35">
      <c r="A441" s="9"/>
      <c r="B441" s="9"/>
      <c r="C441" s="15"/>
      <c r="D441" s="8"/>
      <c r="E441" s="15"/>
      <c r="F441" s="5"/>
      <c r="G441" s="29"/>
      <c r="H441" s="5"/>
      <c r="I441" s="5"/>
      <c r="J441" s="5"/>
    </row>
    <row r="442" spans="1:10" ht="15" customHeight="1" x14ac:dyDescent="0.35">
      <c r="A442" s="9"/>
      <c r="B442" s="12"/>
      <c r="C442" s="15"/>
      <c r="D442" s="8"/>
      <c r="E442" s="15"/>
      <c r="F442" s="5"/>
      <c r="G442" s="29"/>
      <c r="H442" s="5"/>
      <c r="I442" s="5"/>
      <c r="J442" s="5"/>
    </row>
    <row r="443" spans="1:10" ht="15" customHeight="1" x14ac:dyDescent="0.35">
      <c r="A443" s="9"/>
      <c r="B443" s="12"/>
      <c r="C443" s="15"/>
      <c r="D443" s="8"/>
      <c r="E443" s="15"/>
      <c r="F443" s="5"/>
      <c r="G443" s="29"/>
      <c r="H443" s="5"/>
      <c r="I443" s="5"/>
      <c r="J443" s="5"/>
    </row>
    <row r="444" spans="1:10" ht="15" customHeight="1" x14ac:dyDescent="0.35">
      <c r="A444" s="9"/>
      <c r="B444" s="12"/>
      <c r="C444" s="15"/>
      <c r="D444" s="8"/>
      <c r="E444" s="15"/>
      <c r="F444" s="5"/>
      <c r="G444" s="29"/>
      <c r="H444" s="5"/>
      <c r="I444" s="5"/>
      <c r="J444" s="5"/>
    </row>
    <row r="445" spans="1:10" ht="15" customHeight="1" x14ac:dyDescent="0.35">
      <c r="A445" s="9"/>
      <c r="B445" s="12"/>
      <c r="C445" s="15"/>
      <c r="D445" s="8"/>
      <c r="E445" s="15"/>
      <c r="F445" s="5"/>
      <c r="G445" s="29"/>
      <c r="H445" s="5"/>
      <c r="I445" s="5"/>
      <c r="J445" s="5"/>
    </row>
    <row r="446" spans="1:10" ht="15" customHeight="1" x14ac:dyDescent="0.35">
      <c r="A446" s="9"/>
      <c r="B446" s="12"/>
      <c r="C446" s="15"/>
      <c r="D446" s="8"/>
      <c r="E446" s="15"/>
      <c r="F446" s="5"/>
      <c r="G446" s="29"/>
      <c r="H446" s="5"/>
      <c r="I446" s="5"/>
      <c r="J446" s="5"/>
    </row>
    <row r="447" spans="1:10" ht="15.75" customHeight="1" x14ac:dyDescent="0.35">
      <c r="A447" s="9"/>
      <c r="B447" s="12"/>
      <c r="C447" s="15"/>
      <c r="D447" s="8"/>
      <c r="E447" s="15"/>
      <c r="F447" s="5"/>
      <c r="G447" s="29"/>
      <c r="H447" s="5"/>
      <c r="I447" s="5"/>
      <c r="J447" s="5"/>
    </row>
    <row r="448" spans="1:10" ht="15" customHeight="1" x14ac:dyDescent="0.35">
      <c r="A448" s="9"/>
      <c r="B448" s="12"/>
      <c r="C448" s="15"/>
      <c r="D448" s="8"/>
      <c r="E448" s="15"/>
      <c r="F448" s="5"/>
      <c r="G448" s="29"/>
      <c r="H448" s="5"/>
      <c r="I448" s="5"/>
      <c r="J448" s="5"/>
    </row>
    <row r="449" spans="1:10" ht="15" customHeight="1" x14ac:dyDescent="0.35">
      <c r="A449" s="9"/>
      <c r="B449" s="12"/>
      <c r="C449" s="15"/>
      <c r="D449" s="8"/>
      <c r="E449" s="15"/>
      <c r="F449" s="5"/>
      <c r="G449" s="29"/>
      <c r="H449" s="5"/>
      <c r="I449" s="5"/>
      <c r="J449" s="5"/>
    </row>
    <row r="450" spans="1:10" ht="15" customHeight="1" x14ac:dyDescent="0.35">
      <c r="A450" s="9"/>
      <c r="B450" s="12"/>
      <c r="C450" s="15"/>
      <c r="D450" s="8"/>
      <c r="E450" s="15"/>
      <c r="F450" s="5"/>
      <c r="G450" s="29"/>
      <c r="H450" s="5"/>
      <c r="I450" s="5"/>
      <c r="J450" s="5"/>
    </row>
    <row r="451" spans="1:10" ht="15" customHeight="1" x14ac:dyDescent="0.35">
      <c r="A451" s="9"/>
      <c r="B451" s="12"/>
      <c r="C451" s="15"/>
      <c r="D451" s="8"/>
      <c r="E451" s="15"/>
      <c r="F451" s="5"/>
      <c r="G451" s="29"/>
      <c r="H451" s="5"/>
      <c r="I451" s="5"/>
      <c r="J451" s="5"/>
    </row>
    <row r="452" spans="1:10" ht="15" customHeight="1" x14ac:dyDescent="0.35">
      <c r="A452" s="9"/>
      <c r="B452" s="12"/>
      <c r="C452" s="15"/>
      <c r="D452" s="8"/>
      <c r="E452" s="15"/>
      <c r="F452" s="5"/>
      <c r="G452" s="29"/>
      <c r="H452" s="5"/>
      <c r="I452" s="5"/>
      <c r="J452" s="5"/>
    </row>
    <row r="453" spans="1:10" ht="15.75" customHeight="1" x14ac:dyDescent="0.35">
      <c r="A453" s="9"/>
      <c r="B453" s="12"/>
      <c r="C453" s="15"/>
      <c r="D453" s="8"/>
      <c r="E453" s="15"/>
      <c r="F453" s="5"/>
      <c r="G453" s="29"/>
      <c r="H453" s="5"/>
      <c r="I453" s="5"/>
      <c r="J453" s="5"/>
    </row>
    <row r="454" spans="1:10" ht="15" customHeight="1" x14ac:dyDescent="0.35">
      <c r="A454" s="9"/>
      <c r="B454" s="12"/>
      <c r="C454" s="15"/>
      <c r="D454" s="8"/>
      <c r="E454" s="15"/>
      <c r="F454" s="5"/>
      <c r="G454" s="29"/>
      <c r="H454" s="5"/>
      <c r="I454" s="5"/>
      <c r="J454" s="5"/>
    </row>
    <row r="455" spans="1:10" ht="15" customHeight="1" x14ac:dyDescent="0.35">
      <c r="A455" s="9"/>
      <c r="B455" s="12"/>
      <c r="C455" s="15"/>
      <c r="D455" s="8"/>
      <c r="E455" s="15"/>
      <c r="F455" s="5"/>
      <c r="G455" s="29"/>
      <c r="H455" s="5"/>
      <c r="I455" s="5"/>
      <c r="J455" s="5"/>
    </row>
    <row r="456" spans="1:10" ht="15" customHeight="1" x14ac:dyDescent="0.35">
      <c r="A456" s="9"/>
      <c r="B456" s="12"/>
      <c r="C456" s="15"/>
      <c r="D456" s="8"/>
      <c r="E456" s="15"/>
      <c r="F456" s="5"/>
      <c r="G456" s="29"/>
      <c r="H456" s="5"/>
      <c r="I456" s="5"/>
      <c r="J456" s="5"/>
    </row>
    <row r="457" spans="1:10" ht="15" customHeight="1" x14ac:dyDescent="0.35">
      <c r="A457" s="9"/>
      <c r="B457" s="9"/>
      <c r="C457" s="15"/>
      <c r="D457" s="8"/>
      <c r="E457" s="15"/>
      <c r="F457" s="5"/>
      <c r="G457" s="29"/>
      <c r="H457" s="5"/>
      <c r="I457" s="5"/>
      <c r="J457" s="5"/>
    </row>
    <row r="458" spans="1:10" ht="15" customHeight="1" x14ac:dyDescent="0.35">
      <c r="A458" s="9"/>
      <c r="B458" s="9"/>
      <c r="C458" s="15"/>
      <c r="D458" s="8"/>
      <c r="E458" s="15"/>
      <c r="F458" s="5"/>
      <c r="G458" s="29"/>
      <c r="H458" s="5"/>
      <c r="I458" s="5"/>
      <c r="J458" s="5"/>
    </row>
    <row r="459" spans="1:10" ht="15" customHeight="1" x14ac:dyDescent="0.35">
      <c r="A459" s="9"/>
      <c r="B459" s="12"/>
      <c r="C459" s="15"/>
      <c r="D459" s="8"/>
      <c r="E459" s="15"/>
      <c r="F459" s="5"/>
      <c r="G459" s="29"/>
      <c r="H459" s="5"/>
      <c r="I459" s="5"/>
      <c r="J459" s="5"/>
    </row>
    <row r="460" spans="1:10" ht="15.75" customHeight="1" x14ac:dyDescent="0.35">
      <c r="A460" s="9"/>
      <c r="B460" s="12"/>
      <c r="C460" s="15"/>
      <c r="D460" s="8"/>
      <c r="E460" s="15"/>
      <c r="F460" s="5"/>
      <c r="G460" s="29"/>
      <c r="H460" s="5"/>
      <c r="I460" s="5"/>
      <c r="J460" s="5"/>
    </row>
    <row r="461" spans="1:10" ht="15.75" customHeight="1" x14ac:dyDescent="0.35">
      <c r="A461" s="9"/>
      <c r="B461" s="12"/>
      <c r="C461" s="15"/>
      <c r="D461" s="8"/>
      <c r="E461" s="15"/>
      <c r="F461" s="5"/>
      <c r="G461" s="29"/>
      <c r="H461" s="5"/>
      <c r="I461" s="5"/>
      <c r="J461" s="5"/>
    </row>
    <row r="462" spans="1:10" ht="15.75" customHeight="1" x14ac:dyDescent="0.35">
      <c r="A462" s="9"/>
      <c r="B462" s="12"/>
      <c r="C462" s="15"/>
      <c r="D462" s="8"/>
      <c r="E462" s="15"/>
      <c r="F462" s="5"/>
      <c r="G462" s="29"/>
      <c r="H462" s="5"/>
      <c r="I462" s="5"/>
      <c r="J462" s="5"/>
    </row>
    <row r="463" spans="1:10" ht="15.75" customHeight="1" x14ac:dyDescent="0.35">
      <c r="A463" s="9"/>
      <c r="B463" s="12"/>
      <c r="C463" s="15"/>
      <c r="D463" s="8"/>
      <c r="E463" s="15"/>
      <c r="F463" s="5"/>
      <c r="G463" s="29"/>
      <c r="H463" s="5"/>
      <c r="I463" s="5"/>
      <c r="J463" s="5"/>
    </row>
    <row r="464" spans="1:10" ht="15" customHeight="1" x14ac:dyDescent="0.35">
      <c r="A464" s="9"/>
      <c r="B464" s="10"/>
      <c r="C464" s="2"/>
      <c r="D464" s="8"/>
      <c r="E464" s="9"/>
      <c r="F464" s="5"/>
      <c r="G464" s="29"/>
      <c r="H464" s="5"/>
      <c r="I464" s="5"/>
      <c r="J464" s="5"/>
    </row>
    <row r="465" spans="1:10" ht="15" customHeight="1" x14ac:dyDescent="0.35">
      <c r="A465" s="9"/>
      <c r="B465" s="10"/>
      <c r="C465" s="2"/>
      <c r="D465" s="8"/>
      <c r="E465" s="9"/>
      <c r="F465" s="5"/>
      <c r="G465" s="29"/>
      <c r="H465" s="5"/>
      <c r="I465" s="5"/>
      <c r="J465" s="5"/>
    </row>
    <row r="466" spans="1:10" ht="15" customHeight="1" x14ac:dyDescent="0.35">
      <c r="A466" s="9"/>
      <c r="B466" s="20"/>
      <c r="C466" s="9"/>
      <c r="D466" s="8"/>
      <c r="E466" s="9"/>
      <c r="F466" s="5"/>
      <c r="G466" s="29"/>
      <c r="H466" s="5"/>
      <c r="I466" s="5"/>
      <c r="J466" s="5"/>
    </row>
    <row r="467" spans="1:10" ht="15" customHeight="1" x14ac:dyDescent="0.35">
      <c r="A467" s="9"/>
      <c r="B467" s="20"/>
      <c r="C467" s="9"/>
      <c r="D467" s="8"/>
      <c r="E467" s="9"/>
      <c r="F467" s="5"/>
      <c r="G467" s="29"/>
      <c r="H467" s="5"/>
      <c r="I467" s="5"/>
      <c r="J467" s="5"/>
    </row>
    <row r="468" spans="1:10" ht="15" customHeight="1" x14ac:dyDescent="0.35">
      <c r="A468" s="9"/>
      <c r="B468" s="10"/>
      <c r="C468" s="9"/>
      <c r="D468" s="8"/>
      <c r="E468" s="9"/>
      <c r="F468" s="5"/>
      <c r="G468" s="29"/>
      <c r="H468" s="5"/>
      <c r="I468" s="5"/>
      <c r="J468" s="5"/>
    </row>
    <row r="469" spans="1:10" ht="15" customHeight="1" x14ac:dyDescent="0.35">
      <c r="A469" s="9"/>
      <c r="B469" s="20"/>
      <c r="C469" s="2"/>
      <c r="D469" s="8"/>
      <c r="E469" s="9"/>
      <c r="F469" s="19"/>
      <c r="G469" s="29"/>
      <c r="H469" s="5"/>
      <c r="I469" s="5"/>
      <c r="J469" s="5"/>
    </row>
    <row r="470" spans="1:10" ht="15" customHeight="1" x14ac:dyDescent="0.35">
      <c r="A470" s="9"/>
      <c r="B470" s="20"/>
      <c r="C470" s="2"/>
      <c r="D470" s="8"/>
      <c r="E470" s="9"/>
      <c r="F470" s="19"/>
      <c r="G470" s="20"/>
      <c r="H470" s="5"/>
      <c r="I470" s="5"/>
      <c r="J470" s="5"/>
    </row>
    <row r="471" spans="1:10" ht="15" customHeight="1" x14ac:dyDescent="0.35">
      <c r="A471" s="9"/>
      <c r="B471" s="20"/>
      <c r="C471" s="2"/>
      <c r="D471" s="8"/>
      <c r="E471" s="9"/>
      <c r="F471" s="5"/>
      <c r="G471" s="29"/>
      <c r="H471" s="5"/>
      <c r="I471" s="5"/>
      <c r="J471" s="5"/>
    </row>
    <row r="472" spans="1:10" ht="15" customHeight="1" x14ac:dyDescent="0.35">
      <c r="A472" s="9"/>
      <c r="B472" s="20"/>
      <c r="C472" s="2"/>
      <c r="D472" s="8"/>
      <c r="E472" s="9"/>
      <c r="F472" s="5"/>
      <c r="G472" s="29"/>
      <c r="H472" s="5"/>
      <c r="I472" s="5"/>
      <c r="J472" s="5"/>
    </row>
    <row r="473" spans="1:10" ht="15" customHeight="1" x14ac:dyDescent="0.35">
      <c r="A473" s="9"/>
      <c r="B473" s="10"/>
      <c r="C473" s="11"/>
      <c r="D473" s="8"/>
      <c r="E473" s="12"/>
      <c r="F473" s="5"/>
      <c r="G473" s="29"/>
      <c r="H473" s="5"/>
      <c r="I473" s="5"/>
      <c r="J473" s="5"/>
    </row>
    <row r="474" spans="1:10" ht="15" customHeight="1" x14ac:dyDescent="0.35">
      <c r="A474" s="9"/>
      <c r="B474" s="20"/>
      <c r="C474" s="2"/>
      <c r="D474" s="8"/>
      <c r="E474" s="9"/>
      <c r="F474" s="5"/>
      <c r="G474" s="29"/>
      <c r="H474" s="5"/>
      <c r="I474" s="5"/>
      <c r="J474" s="5"/>
    </row>
    <row r="475" spans="1:10" ht="15" customHeight="1" x14ac:dyDescent="0.35">
      <c r="A475" s="9"/>
      <c r="B475" s="20"/>
      <c r="C475" s="2"/>
      <c r="D475" s="8"/>
      <c r="E475" s="9"/>
      <c r="F475" s="19"/>
      <c r="G475" s="20"/>
      <c r="H475" s="5"/>
      <c r="I475" s="5"/>
      <c r="J475" s="5"/>
    </row>
    <row r="476" spans="1:10" ht="15" customHeight="1" x14ac:dyDescent="0.35">
      <c r="A476" s="9"/>
      <c r="B476" s="20"/>
      <c r="C476" s="2"/>
      <c r="D476" s="8"/>
      <c r="E476" s="9"/>
      <c r="F476" s="5"/>
      <c r="G476" s="29"/>
      <c r="H476" s="5"/>
      <c r="I476" s="5"/>
      <c r="J476" s="5"/>
    </row>
    <row r="477" spans="1:10" ht="15" customHeight="1" x14ac:dyDescent="0.35">
      <c r="A477" s="9"/>
      <c r="B477" s="20"/>
      <c r="C477" s="2"/>
      <c r="D477" s="8"/>
      <c r="E477" s="9"/>
      <c r="F477" s="5"/>
      <c r="G477" s="20"/>
      <c r="H477" s="5"/>
      <c r="I477" s="5"/>
      <c r="J477" s="5"/>
    </row>
    <row r="478" spans="1:10" ht="15" customHeight="1" x14ac:dyDescent="0.35">
      <c r="A478" s="9"/>
      <c r="B478" s="10"/>
      <c r="C478" s="2"/>
      <c r="D478" s="8"/>
      <c r="E478" s="9"/>
      <c r="F478" s="5"/>
      <c r="G478" s="29"/>
      <c r="H478" s="5"/>
      <c r="I478" s="5"/>
      <c r="J478" s="5"/>
    </row>
    <row r="479" spans="1:10" ht="15.75" customHeight="1" x14ac:dyDescent="0.35">
      <c r="A479" s="9"/>
      <c r="B479" s="10"/>
      <c r="C479" s="2"/>
      <c r="D479" s="8"/>
      <c r="E479" s="9"/>
      <c r="F479" s="5"/>
      <c r="G479" s="29"/>
      <c r="H479" s="5"/>
      <c r="I479" s="5"/>
      <c r="J479" s="5"/>
    </row>
    <row r="480" spans="1:10" ht="15" x14ac:dyDescent="0.35">
      <c r="A480" s="9"/>
      <c r="B480" s="20"/>
      <c r="C480" s="2"/>
      <c r="D480" s="8"/>
      <c r="E480" s="9"/>
      <c r="F480" s="5"/>
      <c r="G480" s="29"/>
      <c r="H480" s="5"/>
      <c r="I480" s="5"/>
      <c r="J480" s="5"/>
    </row>
    <row r="481" spans="1:10" ht="15" x14ac:dyDescent="0.35">
      <c r="A481" s="9"/>
      <c r="B481" s="20"/>
      <c r="C481" s="2"/>
      <c r="D481" s="8"/>
      <c r="E481" s="9"/>
      <c r="F481" s="5"/>
      <c r="G481" s="29"/>
      <c r="H481" s="5"/>
      <c r="I481" s="5"/>
      <c r="J481" s="5"/>
    </row>
    <row r="482" spans="1:10" ht="15" x14ac:dyDescent="0.35">
      <c r="A482" s="9"/>
      <c r="B482" s="10"/>
      <c r="C482" s="2"/>
      <c r="D482" s="8"/>
      <c r="E482" s="9"/>
      <c r="F482" s="5"/>
      <c r="G482" s="29"/>
      <c r="H482" s="5"/>
      <c r="I482" s="5"/>
      <c r="J482" s="5"/>
    </row>
    <row r="483" spans="1:10" ht="15" x14ac:dyDescent="0.35">
      <c r="A483" s="9"/>
      <c r="B483" s="10"/>
      <c r="C483" s="2"/>
      <c r="D483" s="8"/>
      <c r="E483" s="9"/>
      <c r="F483" s="5"/>
      <c r="G483" s="29"/>
      <c r="H483" s="5"/>
      <c r="I483" s="5"/>
      <c r="J483" s="5"/>
    </row>
    <row r="484" spans="1:10" ht="15" x14ac:dyDescent="0.35">
      <c r="A484" s="9"/>
      <c r="B484" s="10"/>
      <c r="C484" s="2"/>
      <c r="D484" s="8"/>
      <c r="E484" s="9"/>
      <c r="F484" s="5"/>
      <c r="G484" s="29"/>
      <c r="H484" s="5"/>
      <c r="I484" s="5"/>
      <c r="J484" s="5"/>
    </row>
    <row r="485" spans="1:10" ht="15" x14ac:dyDescent="0.35">
      <c r="A485" s="9"/>
      <c r="B485" s="10"/>
      <c r="C485" s="2"/>
      <c r="D485" s="8"/>
      <c r="E485" s="9"/>
      <c r="F485" s="5"/>
      <c r="G485" s="29"/>
      <c r="H485" s="5"/>
      <c r="I485" s="5"/>
      <c r="J485" s="5"/>
    </row>
    <row r="486" spans="1:10" ht="15" x14ac:dyDescent="0.35">
      <c r="A486" s="9"/>
      <c r="B486" s="10"/>
      <c r="C486" s="16"/>
      <c r="D486" s="8"/>
      <c r="E486" s="9"/>
      <c r="F486" s="5"/>
      <c r="G486" s="29"/>
      <c r="H486" s="5"/>
      <c r="I486" s="5"/>
      <c r="J486" s="5"/>
    </row>
    <row r="487" spans="1:10" ht="15" x14ac:dyDescent="0.35">
      <c r="A487" s="9"/>
      <c r="B487" s="10"/>
      <c r="C487" s="16"/>
      <c r="D487" s="8"/>
      <c r="E487" s="9"/>
      <c r="F487" s="5"/>
      <c r="G487" s="29"/>
      <c r="H487" s="5"/>
      <c r="I487" s="5"/>
      <c r="J487" s="5"/>
    </row>
    <row r="488" spans="1:10" ht="15" x14ac:dyDescent="0.35">
      <c r="A488" s="9"/>
      <c r="B488" s="10"/>
      <c r="C488" s="2"/>
      <c r="D488" s="8"/>
      <c r="E488" s="9"/>
      <c r="F488" s="5"/>
      <c r="G488" s="29"/>
      <c r="H488" s="5"/>
      <c r="I488" s="5"/>
      <c r="J488" s="5"/>
    </row>
    <row r="489" spans="1:10" ht="15" x14ac:dyDescent="0.35">
      <c r="A489" s="9"/>
      <c r="B489" s="10"/>
      <c r="C489" s="2"/>
      <c r="D489" s="8"/>
      <c r="E489" s="9"/>
      <c r="F489" s="5"/>
      <c r="G489" s="29"/>
      <c r="H489" s="5"/>
      <c r="I489" s="5"/>
      <c r="J489" s="5"/>
    </row>
    <row r="490" spans="1:10" ht="15" x14ac:dyDescent="0.35">
      <c r="A490" s="9"/>
      <c r="B490" s="10"/>
      <c r="C490" s="2"/>
      <c r="D490" s="8"/>
      <c r="E490" s="9"/>
      <c r="F490" s="5"/>
      <c r="G490" s="29"/>
      <c r="H490" s="5"/>
      <c r="I490" s="5"/>
      <c r="J490" s="5"/>
    </row>
    <row r="491" spans="1:10" ht="15" x14ac:dyDescent="0.35">
      <c r="A491" s="9"/>
      <c r="B491" s="10"/>
      <c r="C491" s="2"/>
      <c r="D491" s="8"/>
      <c r="E491" s="9"/>
      <c r="F491" s="5"/>
      <c r="G491" s="29"/>
      <c r="H491" s="5"/>
      <c r="I491" s="5"/>
      <c r="J491" s="5"/>
    </row>
    <row r="492" spans="1:10" ht="15" x14ac:dyDescent="0.35">
      <c r="A492" s="9"/>
      <c r="B492" s="10"/>
      <c r="C492" s="2"/>
      <c r="D492" s="8"/>
      <c r="E492" s="9"/>
      <c r="F492" s="5"/>
      <c r="G492" s="29"/>
      <c r="H492" s="5"/>
      <c r="I492" s="5"/>
      <c r="J492" s="5"/>
    </row>
    <row r="493" spans="1:10" ht="15" x14ac:dyDescent="0.35">
      <c r="A493" s="9"/>
      <c r="B493" s="10"/>
      <c r="C493" s="2"/>
      <c r="D493" s="8"/>
      <c r="E493" s="9"/>
      <c r="F493" s="5"/>
      <c r="G493" s="29"/>
      <c r="H493" s="5"/>
      <c r="I493" s="5"/>
      <c r="J493" s="5"/>
    </row>
    <row r="494" spans="1:10" ht="15" x14ac:dyDescent="0.35">
      <c r="A494" s="9"/>
      <c r="B494" s="20"/>
      <c r="C494" s="2"/>
      <c r="D494" s="8"/>
      <c r="E494" s="9"/>
      <c r="F494" s="5"/>
      <c r="G494" s="29"/>
      <c r="H494" s="5"/>
      <c r="I494" s="5"/>
      <c r="J494" s="5"/>
    </row>
    <row r="495" spans="1:10" ht="15" x14ac:dyDescent="0.35">
      <c r="A495" s="9"/>
      <c r="B495" s="20"/>
      <c r="C495" s="2"/>
      <c r="D495" s="8"/>
      <c r="E495" s="9"/>
      <c r="F495" s="5"/>
      <c r="G495" s="29"/>
      <c r="H495" s="5"/>
      <c r="I495" s="5"/>
      <c r="J495" s="5"/>
    </row>
    <row r="496" spans="1:10" ht="15" x14ac:dyDescent="0.35">
      <c r="A496" s="9"/>
      <c r="B496" s="10"/>
      <c r="C496" s="9"/>
      <c r="D496" s="8"/>
      <c r="E496" s="9"/>
      <c r="F496" s="5"/>
      <c r="G496" s="29"/>
      <c r="H496" s="5"/>
      <c r="I496" s="5"/>
      <c r="J496" s="5"/>
    </row>
    <row r="497" spans="1:10" ht="15" x14ac:dyDescent="0.35">
      <c r="A497" s="9"/>
      <c r="B497" s="10"/>
      <c r="C497" s="9"/>
      <c r="D497" s="8"/>
      <c r="E497" s="9"/>
      <c r="F497" s="5"/>
      <c r="G497" s="29"/>
      <c r="H497" s="5"/>
      <c r="I497" s="5"/>
      <c r="J497" s="5"/>
    </row>
    <row r="498" spans="1:10" ht="15" x14ac:dyDescent="0.35">
      <c r="A498" s="9"/>
      <c r="B498" s="10"/>
      <c r="C498" s="2"/>
      <c r="D498" s="8"/>
      <c r="E498" s="9"/>
      <c r="F498" s="5"/>
      <c r="G498" s="29"/>
      <c r="H498" s="5"/>
      <c r="I498" s="5"/>
      <c r="J498" s="5"/>
    </row>
    <row r="499" spans="1:10" ht="15" x14ac:dyDescent="0.35">
      <c r="A499" s="9"/>
      <c r="B499" s="10"/>
      <c r="C499" s="2"/>
      <c r="D499" s="8"/>
      <c r="E499" s="9"/>
      <c r="F499" s="5"/>
      <c r="G499" s="29"/>
      <c r="H499" s="5"/>
      <c r="I499" s="5"/>
      <c r="J499" s="5"/>
    </row>
    <row r="500" spans="1:10" ht="15" x14ac:dyDescent="0.35">
      <c r="A500" s="9"/>
      <c r="B500" s="10"/>
      <c r="C500" s="2"/>
      <c r="D500" s="8"/>
      <c r="E500" s="9"/>
      <c r="F500" s="5"/>
      <c r="G500" s="29"/>
      <c r="H500" s="5"/>
      <c r="I500" s="5"/>
      <c r="J500" s="5"/>
    </row>
    <row r="501" spans="1:10" ht="15" x14ac:dyDescent="0.35">
      <c r="A501" s="9"/>
      <c r="B501" s="10"/>
      <c r="C501" s="2"/>
      <c r="D501" s="8"/>
      <c r="E501" s="9"/>
      <c r="F501" s="5"/>
      <c r="G501" s="29"/>
      <c r="H501" s="5"/>
      <c r="I501" s="5"/>
      <c r="J501" s="5"/>
    </row>
    <row r="502" spans="1:10" ht="15" x14ac:dyDescent="0.35">
      <c r="A502" s="9"/>
      <c r="B502" s="10"/>
      <c r="C502" s="2"/>
      <c r="D502" s="8"/>
      <c r="E502" s="9"/>
      <c r="F502" s="5"/>
      <c r="G502" s="29"/>
      <c r="H502" s="5"/>
      <c r="I502" s="5"/>
      <c r="J502" s="5"/>
    </row>
    <row r="503" spans="1:10" ht="15" x14ac:dyDescent="0.35">
      <c r="A503" s="9"/>
      <c r="B503" s="10"/>
      <c r="C503" s="2"/>
      <c r="D503" s="8"/>
      <c r="E503" s="9"/>
      <c r="F503" s="5"/>
      <c r="G503" s="29"/>
      <c r="H503" s="5"/>
      <c r="I503" s="5"/>
      <c r="J503" s="5"/>
    </row>
    <row r="504" spans="1:10" ht="15" x14ac:dyDescent="0.35">
      <c r="A504" s="9"/>
      <c r="B504" s="10"/>
      <c r="C504" s="2"/>
      <c r="D504" s="8"/>
      <c r="E504" s="9"/>
      <c r="F504" s="5"/>
      <c r="G504" s="29"/>
      <c r="H504" s="5"/>
      <c r="I504" s="5"/>
      <c r="J504" s="5"/>
    </row>
    <row r="505" spans="1:10" ht="15" x14ac:dyDescent="0.35">
      <c r="A505" s="9"/>
      <c r="B505" s="10"/>
      <c r="C505" s="2"/>
      <c r="D505" s="8"/>
      <c r="E505" s="9"/>
      <c r="F505" s="5"/>
      <c r="G505" s="29"/>
      <c r="H505" s="5"/>
      <c r="I505" s="5"/>
      <c r="J505" s="5"/>
    </row>
    <row r="506" spans="1:10" ht="15" x14ac:dyDescent="0.35">
      <c r="A506" s="9"/>
      <c r="B506" s="10"/>
      <c r="C506" s="2"/>
      <c r="D506" s="8"/>
      <c r="E506" s="9"/>
      <c r="F506" s="5"/>
      <c r="G506" s="29"/>
      <c r="H506" s="5"/>
      <c r="I506" s="5"/>
      <c r="J506" s="5"/>
    </row>
    <row r="507" spans="1:10" ht="15" x14ac:dyDescent="0.35">
      <c r="A507" s="9"/>
      <c r="B507" s="10"/>
      <c r="C507" s="2"/>
      <c r="D507" s="8"/>
      <c r="E507" s="9"/>
      <c r="F507" s="5"/>
      <c r="G507" s="29"/>
      <c r="H507" s="5"/>
      <c r="I507" s="5"/>
      <c r="J507" s="5"/>
    </row>
    <row r="508" spans="1:10" ht="15" x14ac:dyDescent="0.35">
      <c r="A508" s="9"/>
      <c r="B508" s="10"/>
      <c r="C508" s="2"/>
      <c r="D508" s="8"/>
      <c r="E508" s="9"/>
      <c r="F508" s="5"/>
      <c r="G508" s="29"/>
      <c r="H508" s="5"/>
      <c r="I508" s="5"/>
      <c r="J508" s="5"/>
    </row>
    <row r="509" spans="1:10" ht="15" x14ac:dyDescent="0.35">
      <c r="A509" s="9"/>
      <c r="B509" s="10"/>
      <c r="C509" s="2"/>
      <c r="D509" s="8"/>
      <c r="E509" s="9"/>
      <c r="F509" s="5"/>
      <c r="G509" s="29"/>
      <c r="H509" s="5"/>
      <c r="I509" s="5"/>
      <c r="J509" s="5"/>
    </row>
    <row r="510" spans="1:10" ht="15" x14ac:dyDescent="0.35">
      <c r="A510" s="9"/>
      <c r="B510" s="10"/>
      <c r="C510" s="2"/>
      <c r="D510" s="8"/>
      <c r="E510" s="9"/>
      <c r="F510" s="5"/>
      <c r="G510" s="29"/>
      <c r="H510" s="5"/>
      <c r="I510" s="5"/>
      <c r="J510" s="5"/>
    </row>
    <row r="511" spans="1:10" ht="15" x14ac:dyDescent="0.35">
      <c r="A511" s="9"/>
      <c r="B511" s="10"/>
      <c r="C511" s="2"/>
      <c r="D511" s="8"/>
      <c r="E511" s="9"/>
      <c r="F511" s="5"/>
      <c r="G511" s="29"/>
      <c r="H511" s="5"/>
      <c r="I511" s="5"/>
      <c r="J511" s="5"/>
    </row>
    <row r="512" spans="1:10" ht="15" x14ac:dyDescent="0.35">
      <c r="A512" s="9"/>
      <c r="B512" s="10"/>
      <c r="C512" s="2"/>
      <c r="D512" s="8"/>
      <c r="E512" s="9"/>
      <c r="F512" s="5"/>
      <c r="G512" s="20"/>
      <c r="H512" s="5"/>
      <c r="I512" s="5"/>
      <c r="J512" s="5"/>
    </row>
    <row r="513" spans="1:10" ht="15" x14ac:dyDescent="0.35">
      <c r="A513" s="9"/>
      <c r="B513" s="10"/>
      <c r="C513" s="2"/>
      <c r="D513" s="8"/>
      <c r="E513" s="9"/>
      <c r="F513" s="5"/>
      <c r="G513" s="20"/>
      <c r="H513" s="5"/>
      <c r="I513" s="5"/>
      <c r="J513" s="5"/>
    </row>
    <row r="514" spans="1:10" ht="15" x14ac:dyDescent="0.35">
      <c r="A514" s="9"/>
      <c r="B514" s="10"/>
      <c r="C514" s="15"/>
      <c r="D514" s="8"/>
      <c r="E514" s="9"/>
      <c r="F514" s="5"/>
      <c r="G514" s="29"/>
      <c r="H514" s="5"/>
      <c r="I514" s="5"/>
      <c r="J514" s="5"/>
    </row>
    <row r="515" spans="1:10" ht="15" x14ac:dyDescent="0.35">
      <c r="A515" s="9"/>
      <c r="B515" s="10"/>
      <c r="C515" s="15"/>
      <c r="D515" s="8"/>
      <c r="E515" s="9"/>
      <c r="F515" s="5"/>
      <c r="G515" s="20"/>
      <c r="H515" s="5"/>
      <c r="I515" s="5"/>
      <c r="J515" s="5"/>
    </row>
    <row r="516" spans="1:10" ht="15" x14ac:dyDescent="0.35">
      <c r="A516" s="9"/>
      <c r="B516" s="28"/>
      <c r="C516" s="5"/>
      <c r="D516" s="8"/>
      <c r="E516" s="5"/>
      <c r="F516" s="5"/>
      <c r="G516" s="29"/>
      <c r="H516" s="5"/>
      <c r="I516" s="5"/>
      <c r="J516" s="5"/>
    </row>
    <row r="517" spans="1:10" ht="15" x14ac:dyDescent="0.35">
      <c r="A517" s="9"/>
      <c r="B517" s="30"/>
      <c r="C517" s="17"/>
      <c r="D517" s="8"/>
      <c r="E517" s="5"/>
      <c r="F517" s="5"/>
      <c r="G517" s="20"/>
      <c r="H517" s="5"/>
      <c r="I517" s="5"/>
      <c r="J517" s="5"/>
    </row>
    <row r="518" spans="1:10" ht="15" x14ac:dyDescent="0.35">
      <c r="A518" s="9"/>
      <c r="B518" s="28"/>
      <c r="C518" s="5"/>
      <c r="D518" s="8"/>
      <c r="E518" s="5"/>
      <c r="F518" s="5"/>
      <c r="G518" s="29"/>
      <c r="H518" s="5"/>
      <c r="I518" s="5"/>
      <c r="J518" s="5"/>
    </row>
    <row r="519" spans="1:10" ht="15" x14ac:dyDescent="0.35">
      <c r="A519" s="9"/>
      <c r="B519" s="30"/>
      <c r="C519" s="18"/>
      <c r="D519" s="8"/>
      <c r="E519" s="5"/>
      <c r="F519" s="5"/>
      <c r="G519" s="29"/>
      <c r="H519" s="5"/>
      <c r="I519" s="5"/>
      <c r="J519" s="5"/>
    </row>
    <row r="520" spans="1:10" ht="15" x14ac:dyDescent="0.35">
      <c r="A520" s="9"/>
      <c r="B520" s="30"/>
      <c r="C520" s="13"/>
      <c r="D520" s="8"/>
      <c r="E520" s="5"/>
      <c r="F520" s="5"/>
      <c r="G520" s="29"/>
      <c r="H520" s="5"/>
      <c r="I520" s="5"/>
      <c r="J520" s="5"/>
    </row>
    <row r="521" spans="1:10" ht="15" x14ac:dyDescent="0.35">
      <c r="A521" s="31"/>
      <c r="B521" s="32"/>
      <c r="C521" s="19"/>
      <c r="D521" s="14"/>
      <c r="E521" s="19"/>
      <c r="F521" s="19"/>
      <c r="G521" s="33"/>
      <c r="H521" s="5"/>
      <c r="I521" s="5"/>
      <c r="J521" s="5"/>
    </row>
    <row r="522" spans="1:10" ht="15" x14ac:dyDescent="0.35">
      <c r="A522" s="9"/>
      <c r="B522" s="30"/>
      <c r="C522" s="5"/>
      <c r="D522" s="8"/>
      <c r="E522" s="5"/>
      <c r="F522" s="5"/>
      <c r="G522" s="29"/>
      <c r="H522" s="5"/>
      <c r="I522" s="5"/>
      <c r="J522" s="5"/>
    </row>
    <row r="523" spans="1:10" ht="15" x14ac:dyDescent="0.35">
      <c r="A523" s="9"/>
      <c r="B523" s="30"/>
      <c r="C523" s="5"/>
      <c r="D523" s="8"/>
      <c r="E523" s="5"/>
      <c r="F523" s="5"/>
      <c r="G523" s="29"/>
      <c r="H523" s="5"/>
      <c r="I523" s="5"/>
      <c r="J523" s="5"/>
    </row>
    <row r="524" spans="1:10" ht="15" x14ac:dyDescent="0.35">
      <c r="A524" s="9"/>
      <c r="B524" s="28"/>
      <c r="C524" s="11"/>
      <c r="D524" s="8"/>
      <c r="E524" s="5"/>
      <c r="F524" s="5"/>
      <c r="G524" s="20"/>
      <c r="H524" s="5"/>
      <c r="I524" s="5"/>
      <c r="J524" s="5"/>
    </row>
    <row r="525" spans="1:10" ht="15" x14ac:dyDescent="0.35">
      <c r="A525" s="9"/>
      <c r="B525" s="28"/>
      <c r="C525" s="5"/>
      <c r="D525" s="8"/>
      <c r="E525" s="5"/>
      <c r="F525" s="5"/>
      <c r="G525" s="29"/>
      <c r="H525" s="5"/>
      <c r="I525" s="5"/>
      <c r="J525" s="5"/>
    </row>
    <row r="526" spans="1:10" x14ac:dyDescent="0.3">
      <c r="A526" s="9"/>
      <c r="B526" s="28"/>
      <c r="C526" s="20"/>
      <c r="D526" s="5"/>
      <c r="E526" s="5"/>
      <c r="F526" s="5"/>
      <c r="G526" s="29"/>
      <c r="H526" s="5"/>
      <c r="I526" s="5"/>
      <c r="J526" s="5"/>
    </row>
    <row r="527" spans="1:10" ht="15" x14ac:dyDescent="0.35">
      <c r="A527" s="9"/>
      <c r="B527" s="28"/>
      <c r="C527" s="5"/>
      <c r="D527" s="8"/>
      <c r="E527" s="5"/>
      <c r="F527" s="5"/>
      <c r="G527" s="29"/>
      <c r="H527" s="5"/>
      <c r="I527" s="5"/>
      <c r="J527" s="5"/>
    </row>
    <row r="528" spans="1:10" ht="15" x14ac:dyDescent="0.35">
      <c r="A528" s="9"/>
      <c r="B528" s="30"/>
      <c r="C528" s="5"/>
      <c r="D528" s="8"/>
      <c r="E528" s="5"/>
      <c r="F528" s="5"/>
      <c r="G528" s="29"/>
      <c r="H528" s="5"/>
      <c r="I528" s="5"/>
      <c r="J528" s="5"/>
    </row>
    <row r="529" spans="1:10" ht="15" x14ac:dyDescent="0.35">
      <c r="A529" s="9"/>
      <c r="B529" s="30"/>
      <c r="C529" s="5"/>
      <c r="D529" s="8"/>
      <c r="E529" s="5"/>
      <c r="F529" s="5"/>
      <c r="G529" s="29"/>
      <c r="H529" s="5"/>
      <c r="I529" s="5"/>
      <c r="J529" s="5"/>
    </row>
    <row r="530" spans="1:10" ht="15" x14ac:dyDescent="0.35">
      <c r="A530" s="9"/>
      <c r="B530" s="30"/>
      <c r="C530" s="5"/>
      <c r="D530" s="8"/>
      <c r="E530" s="5"/>
      <c r="F530" s="5"/>
      <c r="G530" s="29"/>
      <c r="H530" s="5"/>
      <c r="I530" s="5"/>
      <c r="J530" s="5"/>
    </row>
    <row r="531" spans="1:10" ht="15" x14ac:dyDescent="0.35">
      <c r="A531" s="9"/>
      <c r="B531" s="30"/>
      <c r="C531" s="5"/>
      <c r="D531" s="8"/>
      <c r="E531" s="5"/>
      <c r="F531" s="5"/>
      <c r="G531" s="29"/>
      <c r="H531" s="5"/>
      <c r="I531" s="5"/>
      <c r="J531" s="5"/>
    </row>
    <row r="532" spans="1:10" ht="15" x14ac:dyDescent="0.35">
      <c r="A532" s="9"/>
      <c r="B532" s="28"/>
      <c r="C532" s="5"/>
      <c r="D532" s="8"/>
      <c r="E532" s="5"/>
      <c r="F532" s="5"/>
      <c r="G532" s="29"/>
      <c r="H532" s="5"/>
      <c r="I532" s="5"/>
      <c r="J532" s="5"/>
    </row>
    <row r="533" spans="1:10" ht="15" x14ac:dyDescent="0.35">
      <c r="A533" s="9"/>
      <c r="B533" s="28"/>
      <c r="C533" s="5"/>
      <c r="D533" s="8"/>
      <c r="E533" s="5"/>
      <c r="F533" s="5"/>
      <c r="G533" s="29"/>
      <c r="H533" s="5"/>
      <c r="I533" s="5"/>
      <c r="J533" s="5"/>
    </row>
    <row r="534" spans="1:10" ht="15" x14ac:dyDescent="0.35">
      <c r="A534" s="9"/>
      <c r="B534" s="28"/>
      <c r="C534" s="5"/>
      <c r="D534" s="8"/>
      <c r="E534" s="5"/>
      <c r="F534" s="5"/>
      <c r="G534" s="29"/>
      <c r="H534" s="5"/>
      <c r="I534" s="5"/>
      <c r="J534" s="5"/>
    </row>
    <row r="535" spans="1:10" ht="15" x14ac:dyDescent="0.35">
      <c r="A535" s="9"/>
      <c r="B535" s="30"/>
      <c r="C535" s="5"/>
      <c r="D535" s="8"/>
      <c r="E535" s="5"/>
      <c r="F535" s="5"/>
      <c r="G535" s="29"/>
      <c r="H535" s="5"/>
      <c r="I535" s="5"/>
      <c r="J535" s="5"/>
    </row>
    <row r="536" spans="1:10" ht="15" x14ac:dyDescent="0.35">
      <c r="A536" s="9"/>
      <c r="B536" s="30"/>
      <c r="C536" s="5"/>
      <c r="D536" s="8"/>
      <c r="E536" s="5"/>
      <c r="F536" s="5"/>
      <c r="G536" s="29"/>
      <c r="H536" s="5"/>
      <c r="I536" s="5"/>
      <c r="J536" s="5"/>
    </row>
    <row r="537" spans="1:10" ht="15" x14ac:dyDescent="0.35">
      <c r="A537" s="9"/>
      <c r="B537" s="30"/>
      <c r="C537" s="5"/>
      <c r="D537" s="8"/>
      <c r="E537" s="5"/>
      <c r="F537" s="5"/>
      <c r="G537" s="29"/>
      <c r="H537" s="5"/>
      <c r="I537" s="5"/>
      <c r="J537" s="5"/>
    </row>
    <row r="538" spans="1:10" ht="15" x14ac:dyDescent="0.35">
      <c r="A538" s="9"/>
      <c r="B538" s="28"/>
      <c r="C538" s="5"/>
      <c r="D538" s="8"/>
      <c r="E538" s="5"/>
      <c r="F538" s="5"/>
      <c r="G538" s="29"/>
      <c r="H538" s="5"/>
      <c r="I538" s="5"/>
      <c r="J538" s="5"/>
    </row>
    <row r="539" spans="1:10" ht="15" x14ac:dyDescent="0.35">
      <c r="A539" s="9"/>
      <c r="B539" s="28"/>
      <c r="C539" s="5"/>
      <c r="D539" s="8"/>
      <c r="E539" s="5"/>
      <c r="F539" s="5"/>
      <c r="G539" s="29"/>
      <c r="H539" s="5"/>
      <c r="I539" s="5"/>
      <c r="J539" s="5"/>
    </row>
    <row r="540" spans="1:10" ht="15" x14ac:dyDescent="0.35">
      <c r="A540" s="9"/>
      <c r="B540" s="28"/>
      <c r="C540" s="5"/>
      <c r="D540" s="8"/>
      <c r="E540" s="5"/>
      <c r="F540" s="5"/>
      <c r="G540" s="29"/>
      <c r="H540" s="5"/>
      <c r="I540" s="5"/>
      <c r="J540" s="5"/>
    </row>
    <row r="541" spans="1:10" ht="15" x14ac:dyDescent="0.35">
      <c r="A541" s="9"/>
      <c r="B541" s="30"/>
      <c r="C541" s="21"/>
      <c r="D541" s="8"/>
      <c r="E541" s="5"/>
      <c r="F541" s="5"/>
      <c r="G541" s="29"/>
      <c r="H541" s="5"/>
      <c r="I541" s="5"/>
      <c r="J541" s="5"/>
    </row>
    <row r="542" spans="1:10" ht="15" x14ac:dyDescent="0.35">
      <c r="A542" s="9"/>
      <c r="B542" s="28"/>
      <c r="C542" s="21"/>
      <c r="D542" s="8"/>
      <c r="E542" s="5"/>
      <c r="F542" s="5"/>
      <c r="G542" s="29"/>
      <c r="H542" s="5"/>
      <c r="I542" s="5"/>
      <c r="J542" s="5"/>
    </row>
  </sheetData>
  <conditionalFormatting sqref="C2:C4 C6:C8">
    <cfRule type="duplicateValues" dxfId="31" priority="15"/>
    <cfRule type="duplicateValues" dxfId="30" priority="16"/>
  </conditionalFormatting>
  <conditionalFormatting sqref="C9:C10 C12 C15">
    <cfRule type="duplicateValues" dxfId="29" priority="13"/>
    <cfRule type="duplicateValues" dxfId="28" priority="14"/>
  </conditionalFormatting>
  <conditionalFormatting sqref="C16:C22">
    <cfRule type="duplicateValues" dxfId="27" priority="11"/>
    <cfRule type="duplicateValues" dxfId="26" priority="12"/>
  </conditionalFormatting>
  <conditionalFormatting sqref="C24:C29">
    <cfRule type="duplicateValues" dxfId="25" priority="9"/>
    <cfRule type="duplicateValues" dxfId="24" priority="10"/>
  </conditionalFormatting>
  <conditionalFormatting sqref="C47:C49 C51:C53">
    <cfRule type="duplicateValues" dxfId="23" priority="7"/>
    <cfRule type="duplicateValues" dxfId="22" priority="8"/>
  </conditionalFormatting>
  <conditionalFormatting sqref="C54:C55 C57 C60">
    <cfRule type="duplicateValues" dxfId="21" priority="5"/>
    <cfRule type="duplicateValues" dxfId="20" priority="6"/>
  </conditionalFormatting>
  <conditionalFormatting sqref="C61:C67">
    <cfRule type="duplicateValues" dxfId="19" priority="3"/>
    <cfRule type="duplicateValues" dxfId="18" priority="4"/>
  </conditionalFormatting>
  <conditionalFormatting sqref="C69:C74">
    <cfRule type="duplicateValues" dxfId="17" priority="1"/>
    <cfRule type="duplicateValues" dxfId="16" priority="2"/>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16"/>
  <sheetViews>
    <sheetView workbookViewId="0">
      <selection activeCell="G8" sqref="G8"/>
    </sheetView>
  </sheetViews>
  <sheetFormatPr defaultRowHeight="14.4" x14ac:dyDescent="0.3"/>
  <cols>
    <col min="1" max="1" width="18.33203125" customWidth="1"/>
    <col min="2" max="2" width="16.109375" bestFit="1" customWidth="1"/>
    <col min="3" max="3" width="34.88671875" customWidth="1"/>
    <col min="4" max="4" width="9.109375" style="3"/>
    <col min="5" max="5" width="12.44140625" customWidth="1"/>
    <col min="6" max="6" width="9" customWidth="1"/>
    <col min="7" max="7" width="16.6640625" customWidth="1"/>
  </cols>
  <sheetData>
    <row r="1" spans="1:7" ht="29.25" customHeight="1" x14ac:dyDescent="0.3">
      <c r="A1" s="73" t="s">
        <v>196</v>
      </c>
      <c r="B1" s="74" t="s">
        <v>306</v>
      </c>
      <c r="C1" s="75" t="s">
        <v>307</v>
      </c>
      <c r="D1" s="75" t="s">
        <v>162</v>
      </c>
      <c r="E1" s="76" t="s">
        <v>0</v>
      </c>
      <c r="F1" s="24" t="s">
        <v>645</v>
      </c>
      <c r="G1" s="77"/>
    </row>
    <row r="2" spans="1:7" x14ac:dyDescent="0.3">
      <c r="A2" s="51" t="s">
        <v>219</v>
      </c>
      <c r="B2" s="2" t="s">
        <v>420</v>
      </c>
      <c r="C2" s="5" t="s">
        <v>421</v>
      </c>
      <c r="D2" s="2">
        <v>2</v>
      </c>
      <c r="E2" s="5" t="s">
        <v>18</v>
      </c>
      <c r="F2" t="s">
        <v>913</v>
      </c>
    </row>
    <row r="3" spans="1:7" x14ac:dyDescent="0.3">
      <c r="A3" s="51" t="s">
        <v>218</v>
      </c>
      <c r="B3" s="2" t="s">
        <v>332</v>
      </c>
      <c r="C3" s="5" t="s">
        <v>333</v>
      </c>
      <c r="D3" s="47">
        <v>3</v>
      </c>
      <c r="E3" s="5" t="s">
        <v>154</v>
      </c>
      <c r="F3" t="s">
        <v>913</v>
      </c>
    </row>
    <row r="4" spans="1:7" x14ac:dyDescent="0.3">
      <c r="A4" s="52" t="s">
        <v>863</v>
      </c>
      <c r="B4" s="2" t="s">
        <v>431</v>
      </c>
      <c r="C4" s="5" t="s">
        <v>432</v>
      </c>
      <c r="D4" s="47">
        <v>3</v>
      </c>
      <c r="E4" s="53" t="s">
        <v>18</v>
      </c>
      <c r="F4" t="s">
        <v>913</v>
      </c>
    </row>
    <row r="5" spans="1:7" x14ac:dyDescent="0.3">
      <c r="A5" s="51" t="s">
        <v>220</v>
      </c>
      <c r="B5" s="2" t="s">
        <v>334</v>
      </c>
      <c r="C5" s="5" t="s">
        <v>335</v>
      </c>
      <c r="D5" s="47">
        <v>3</v>
      </c>
      <c r="E5" s="5" t="s">
        <v>18</v>
      </c>
      <c r="F5" t="s">
        <v>913</v>
      </c>
    </row>
    <row r="6" spans="1:7" x14ac:dyDescent="0.3">
      <c r="A6" s="51" t="s">
        <v>227</v>
      </c>
      <c r="B6" s="2" t="s">
        <v>700</v>
      </c>
      <c r="C6" s="5" t="s">
        <v>442</v>
      </c>
      <c r="D6" s="47">
        <v>3</v>
      </c>
      <c r="E6" s="5" t="s">
        <v>113</v>
      </c>
      <c r="F6" t="s">
        <v>913</v>
      </c>
    </row>
    <row r="7" spans="1:7" x14ac:dyDescent="0.3">
      <c r="A7" s="51" t="s">
        <v>219</v>
      </c>
      <c r="B7" s="2" t="s">
        <v>440</v>
      </c>
      <c r="C7" s="5" t="s">
        <v>338</v>
      </c>
      <c r="D7" s="47">
        <v>3</v>
      </c>
      <c r="E7" s="5" t="s">
        <v>16</v>
      </c>
      <c r="F7" t="s">
        <v>913</v>
      </c>
    </row>
    <row r="8" spans="1:7" x14ac:dyDescent="0.3">
      <c r="A8" s="52" t="s">
        <v>863</v>
      </c>
      <c r="B8" s="2" t="s">
        <v>703</v>
      </c>
      <c r="C8" s="5" t="s">
        <v>704</v>
      </c>
      <c r="D8" s="47">
        <v>3</v>
      </c>
      <c r="E8" s="53" t="s">
        <v>16</v>
      </c>
      <c r="F8" t="s">
        <v>913</v>
      </c>
    </row>
    <row r="9" spans="1:7" x14ac:dyDescent="0.3">
      <c r="A9" s="52" t="s">
        <v>863</v>
      </c>
      <c r="B9" s="2" t="s">
        <v>705</v>
      </c>
      <c r="C9" s="5" t="s">
        <v>706</v>
      </c>
      <c r="D9" s="47">
        <v>3</v>
      </c>
      <c r="E9" s="53" t="s">
        <v>16</v>
      </c>
      <c r="F9" t="s">
        <v>913</v>
      </c>
    </row>
    <row r="10" spans="1:7" x14ac:dyDescent="0.3">
      <c r="A10" s="51" t="s">
        <v>216</v>
      </c>
      <c r="B10" s="2" t="s">
        <v>332</v>
      </c>
      <c r="C10" s="5" t="s">
        <v>333</v>
      </c>
      <c r="D10" s="47">
        <v>3</v>
      </c>
      <c r="E10" s="5" t="s">
        <v>18</v>
      </c>
      <c r="F10" t="s">
        <v>913</v>
      </c>
    </row>
    <row r="11" spans="1:7" x14ac:dyDescent="0.3">
      <c r="A11" s="51" t="s">
        <v>221</v>
      </c>
      <c r="B11" s="2" t="s">
        <v>420</v>
      </c>
      <c r="C11" s="5" t="s">
        <v>421</v>
      </c>
      <c r="D11" s="2">
        <v>2</v>
      </c>
      <c r="E11" s="5" t="s">
        <v>16</v>
      </c>
      <c r="F11" t="s">
        <v>913</v>
      </c>
    </row>
    <row r="12" spans="1:7" x14ac:dyDescent="0.3">
      <c r="A12" s="51" t="s">
        <v>217</v>
      </c>
      <c r="B12" s="2" t="s">
        <v>332</v>
      </c>
      <c r="C12" s="5" t="s">
        <v>333</v>
      </c>
      <c r="D12" s="47">
        <v>3</v>
      </c>
      <c r="E12" s="5" t="s">
        <v>16</v>
      </c>
      <c r="F12" t="s">
        <v>913</v>
      </c>
    </row>
    <row r="13" spans="1:7" x14ac:dyDescent="0.3">
      <c r="A13" s="51" t="s">
        <v>217</v>
      </c>
      <c r="B13" s="2" t="s">
        <v>418</v>
      </c>
      <c r="C13" s="5" t="s">
        <v>419</v>
      </c>
      <c r="D13" s="47">
        <v>3</v>
      </c>
      <c r="E13" s="5" t="s">
        <v>109</v>
      </c>
      <c r="F13" t="s">
        <v>913</v>
      </c>
    </row>
    <row r="14" spans="1:7" x14ac:dyDescent="0.3">
      <c r="A14" s="51" t="s">
        <v>219</v>
      </c>
      <c r="B14" s="2" t="s">
        <v>438</v>
      </c>
      <c r="C14" s="5" t="s">
        <v>439</v>
      </c>
      <c r="D14" s="47">
        <v>3</v>
      </c>
      <c r="E14" s="5" t="s">
        <v>690</v>
      </c>
      <c r="F14" t="s">
        <v>913</v>
      </c>
      <c r="G14" s="54" t="s">
        <v>662</v>
      </c>
    </row>
    <row r="15" spans="1:7" x14ac:dyDescent="0.3">
      <c r="A15" s="51" t="s">
        <v>220</v>
      </c>
      <c r="B15" s="2" t="s">
        <v>438</v>
      </c>
      <c r="C15" s="5" t="s">
        <v>439</v>
      </c>
      <c r="D15" s="47">
        <v>3</v>
      </c>
      <c r="E15" s="5" t="s">
        <v>690</v>
      </c>
      <c r="F15" t="s">
        <v>913</v>
      </c>
      <c r="G15" s="54" t="s">
        <v>662</v>
      </c>
    </row>
    <row r="16" spans="1:7" x14ac:dyDescent="0.3">
      <c r="A16" s="51" t="s">
        <v>221</v>
      </c>
      <c r="B16" s="2" t="s">
        <v>438</v>
      </c>
      <c r="C16" s="5" t="s">
        <v>439</v>
      </c>
      <c r="D16" s="47">
        <v>3</v>
      </c>
      <c r="E16" s="5" t="s">
        <v>49</v>
      </c>
      <c r="F16" t="s">
        <v>913</v>
      </c>
      <c r="G16" s="54" t="s">
        <v>662</v>
      </c>
    </row>
    <row r="17" spans="1:7" x14ac:dyDescent="0.3">
      <c r="A17" s="51" t="s">
        <v>227</v>
      </c>
      <c r="B17" s="2" t="s">
        <v>434</v>
      </c>
      <c r="C17" s="5" t="s">
        <v>435</v>
      </c>
      <c r="D17" s="2">
        <v>2</v>
      </c>
      <c r="E17" s="5" t="s">
        <v>26</v>
      </c>
      <c r="F17" t="s">
        <v>913</v>
      </c>
    </row>
    <row r="18" spans="1:7" x14ac:dyDescent="0.3">
      <c r="A18" s="51" t="s">
        <v>227</v>
      </c>
      <c r="B18" s="2" t="s">
        <v>443</v>
      </c>
      <c r="C18" s="5" t="s">
        <v>701</v>
      </c>
      <c r="D18" s="47">
        <v>3</v>
      </c>
      <c r="E18" s="5" t="s">
        <v>36</v>
      </c>
      <c r="F18" t="s">
        <v>913</v>
      </c>
    </row>
    <row r="19" spans="1:7" x14ac:dyDescent="0.3">
      <c r="A19" s="51" t="s">
        <v>224</v>
      </c>
      <c r="B19" s="2" t="s">
        <v>430</v>
      </c>
      <c r="C19" s="5" t="s">
        <v>437</v>
      </c>
      <c r="D19" s="47">
        <v>3</v>
      </c>
      <c r="E19" s="5" t="s">
        <v>8</v>
      </c>
      <c r="F19" t="s">
        <v>913</v>
      </c>
    </row>
    <row r="20" spans="1:7" x14ac:dyDescent="0.3">
      <c r="A20" s="51" t="s">
        <v>219</v>
      </c>
      <c r="B20" s="2" t="s">
        <v>337</v>
      </c>
      <c r="C20" s="5" t="s">
        <v>441</v>
      </c>
      <c r="D20" s="47">
        <v>3</v>
      </c>
      <c r="E20" s="5" t="s">
        <v>129</v>
      </c>
      <c r="F20" t="s">
        <v>913</v>
      </c>
    </row>
    <row r="21" spans="1:7" x14ac:dyDescent="0.3">
      <c r="A21" s="51" t="s">
        <v>219</v>
      </c>
      <c r="B21" s="2" t="s">
        <v>328</v>
      </c>
      <c r="C21" s="5" t="s">
        <v>329</v>
      </c>
      <c r="D21" s="47">
        <v>3</v>
      </c>
      <c r="E21" s="5" t="s">
        <v>129</v>
      </c>
      <c r="F21" t="s">
        <v>913</v>
      </c>
    </row>
    <row r="22" spans="1:7" x14ac:dyDescent="0.3">
      <c r="A22" s="51" t="s">
        <v>222</v>
      </c>
      <c r="B22" s="2" t="s">
        <v>426</v>
      </c>
      <c r="C22" s="5" t="s">
        <v>427</v>
      </c>
      <c r="D22" s="2">
        <v>2</v>
      </c>
      <c r="E22" s="5" t="s">
        <v>129</v>
      </c>
      <c r="F22" t="s">
        <v>913</v>
      </c>
    </row>
    <row r="23" spans="1:7" x14ac:dyDescent="0.3">
      <c r="A23" s="51" t="s">
        <v>220</v>
      </c>
      <c r="B23" s="2" t="s">
        <v>337</v>
      </c>
      <c r="C23" s="5" t="s">
        <v>441</v>
      </c>
      <c r="D23" s="47">
        <v>3</v>
      </c>
      <c r="E23" s="5" t="s">
        <v>129</v>
      </c>
      <c r="F23" t="s">
        <v>913</v>
      </c>
    </row>
    <row r="24" spans="1:7" x14ac:dyDescent="0.3">
      <c r="A24" s="51" t="s">
        <v>221</v>
      </c>
      <c r="B24" s="2" t="s">
        <v>337</v>
      </c>
      <c r="C24" s="5" t="s">
        <v>441</v>
      </c>
      <c r="D24" s="47">
        <v>3</v>
      </c>
      <c r="E24" s="5" t="s">
        <v>129</v>
      </c>
      <c r="F24" t="s">
        <v>913</v>
      </c>
    </row>
    <row r="25" spans="1:7" x14ac:dyDescent="0.3">
      <c r="A25" s="51" t="s">
        <v>221</v>
      </c>
      <c r="B25" s="2" t="s">
        <v>328</v>
      </c>
      <c r="C25" s="5" t="s">
        <v>329</v>
      </c>
      <c r="D25" s="47">
        <v>3</v>
      </c>
      <c r="E25" s="5" t="s">
        <v>129</v>
      </c>
      <c r="F25" t="s">
        <v>913</v>
      </c>
    </row>
    <row r="26" spans="1:7" x14ac:dyDescent="0.3">
      <c r="A26" s="51" t="s">
        <v>219</v>
      </c>
      <c r="B26" s="2" t="s">
        <v>326</v>
      </c>
      <c r="C26" s="5" t="s">
        <v>327</v>
      </c>
      <c r="D26" s="47">
        <v>3</v>
      </c>
      <c r="E26" s="5" t="s">
        <v>14</v>
      </c>
      <c r="F26" t="s">
        <v>913</v>
      </c>
    </row>
    <row r="27" spans="1:7" x14ac:dyDescent="0.3">
      <c r="A27" s="51" t="s">
        <v>220</v>
      </c>
      <c r="B27" s="2" t="s">
        <v>326</v>
      </c>
      <c r="C27" s="5" t="s">
        <v>327</v>
      </c>
      <c r="D27" s="47">
        <v>3</v>
      </c>
      <c r="E27" s="5" t="s">
        <v>14</v>
      </c>
      <c r="F27" t="s">
        <v>913</v>
      </c>
    </row>
    <row r="28" spans="1:7" x14ac:dyDescent="0.3">
      <c r="A28" s="51" t="s">
        <v>221</v>
      </c>
      <c r="B28" s="2" t="s">
        <v>326</v>
      </c>
      <c r="C28" s="5" t="s">
        <v>327</v>
      </c>
      <c r="D28" s="47">
        <v>3</v>
      </c>
      <c r="E28" s="5" t="s">
        <v>14</v>
      </c>
      <c r="F28" t="s">
        <v>913</v>
      </c>
    </row>
    <row r="29" spans="1:7" x14ac:dyDescent="0.3">
      <c r="A29" s="51" t="s">
        <v>223</v>
      </c>
      <c r="B29" s="2" t="s">
        <v>426</v>
      </c>
      <c r="C29" s="5" t="s">
        <v>427</v>
      </c>
      <c r="D29" s="2">
        <v>2</v>
      </c>
      <c r="E29" s="5"/>
      <c r="F29" t="s">
        <v>913</v>
      </c>
      <c r="G29" s="54" t="s">
        <v>864</v>
      </c>
    </row>
    <row r="30" spans="1:7" x14ac:dyDescent="0.3">
      <c r="A30" s="51" t="s">
        <v>224</v>
      </c>
      <c r="B30" s="2" t="s">
        <v>426</v>
      </c>
      <c r="C30" s="5" t="s">
        <v>427</v>
      </c>
      <c r="D30" s="2">
        <v>2</v>
      </c>
      <c r="E30" s="5"/>
      <c r="F30" t="s">
        <v>913</v>
      </c>
      <c r="G30" s="54" t="s">
        <v>864</v>
      </c>
    </row>
    <row r="31" spans="1:7" x14ac:dyDescent="0.3">
      <c r="A31" s="51" t="s">
        <v>225</v>
      </c>
      <c r="B31" s="2" t="s">
        <v>423</v>
      </c>
      <c r="C31" s="5" t="s">
        <v>424</v>
      </c>
      <c r="D31" s="47">
        <v>3</v>
      </c>
      <c r="E31" s="5"/>
      <c r="F31" t="s">
        <v>913</v>
      </c>
      <c r="G31" s="54" t="s">
        <v>865</v>
      </c>
    </row>
    <row r="32" spans="1:7" x14ac:dyDescent="0.3">
      <c r="A32" s="51" t="s">
        <v>216</v>
      </c>
      <c r="B32" s="2" t="s">
        <v>324</v>
      </c>
      <c r="C32" s="35" t="s">
        <v>325</v>
      </c>
      <c r="D32" s="2">
        <v>2</v>
      </c>
      <c r="E32" s="5"/>
      <c r="F32" t="s">
        <v>913</v>
      </c>
      <c r="G32" s="54" t="s">
        <v>668</v>
      </c>
    </row>
    <row r="33" spans="1:7" x14ac:dyDescent="0.3">
      <c r="A33" s="51" t="s">
        <v>226</v>
      </c>
      <c r="B33" s="2" t="s">
        <v>423</v>
      </c>
      <c r="C33" s="5" t="s">
        <v>424</v>
      </c>
      <c r="D33" s="47">
        <v>3</v>
      </c>
      <c r="E33" s="5"/>
      <c r="F33" t="s">
        <v>913</v>
      </c>
      <c r="G33" s="54" t="s">
        <v>668</v>
      </c>
    </row>
    <row r="34" spans="1:7" x14ac:dyDescent="0.3">
      <c r="A34" s="51" t="s">
        <v>217</v>
      </c>
      <c r="B34" s="2" t="s">
        <v>324</v>
      </c>
      <c r="C34" s="35" t="s">
        <v>325</v>
      </c>
      <c r="D34" s="2">
        <v>2</v>
      </c>
      <c r="E34" s="5"/>
      <c r="F34" t="s">
        <v>913</v>
      </c>
      <c r="G34" s="54" t="s">
        <v>668</v>
      </c>
    </row>
    <row r="35" spans="1:7" x14ac:dyDescent="0.3">
      <c r="A35" s="51" t="s">
        <v>227</v>
      </c>
      <c r="B35" s="2" t="s">
        <v>423</v>
      </c>
      <c r="C35" s="5" t="s">
        <v>424</v>
      </c>
      <c r="D35" s="47">
        <v>3</v>
      </c>
      <c r="E35" s="5"/>
      <c r="F35" t="s">
        <v>913</v>
      </c>
      <c r="G35" s="54" t="s">
        <v>668</v>
      </c>
    </row>
    <row r="36" spans="1:7" x14ac:dyDescent="0.3">
      <c r="A36" s="51" t="s">
        <v>219</v>
      </c>
      <c r="B36" s="2" t="s">
        <v>334</v>
      </c>
      <c r="C36" s="5" t="s">
        <v>335</v>
      </c>
      <c r="D36" s="47">
        <v>3</v>
      </c>
      <c r="E36" s="5" t="s">
        <v>107</v>
      </c>
      <c r="F36" t="s">
        <v>913</v>
      </c>
    </row>
    <row r="37" spans="1:7" x14ac:dyDescent="0.3">
      <c r="A37" s="51" t="s">
        <v>218</v>
      </c>
      <c r="B37" s="2" t="s">
        <v>448</v>
      </c>
      <c r="C37" s="5" t="s">
        <v>698</v>
      </c>
      <c r="D37" s="47">
        <v>3</v>
      </c>
      <c r="E37" s="5" t="s">
        <v>107</v>
      </c>
      <c r="F37" t="s">
        <v>913</v>
      </c>
    </row>
    <row r="38" spans="1:7" x14ac:dyDescent="0.3">
      <c r="A38" s="51" t="s">
        <v>225</v>
      </c>
      <c r="B38" s="2" t="s">
        <v>434</v>
      </c>
      <c r="C38" s="5" t="s">
        <v>435</v>
      </c>
      <c r="D38" s="2">
        <v>2</v>
      </c>
      <c r="E38" s="5" t="s">
        <v>107</v>
      </c>
      <c r="F38" t="s">
        <v>913</v>
      </c>
    </row>
    <row r="39" spans="1:7" x14ac:dyDescent="0.3">
      <c r="A39" s="51" t="s">
        <v>226</v>
      </c>
      <c r="B39" s="2" t="s">
        <v>434</v>
      </c>
      <c r="C39" s="5" t="s">
        <v>435</v>
      </c>
      <c r="D39" s="2">
        <v>2</v>
      </c>
      <c r="E39" s="5" t="s">
        <v>107</v>
      </c>
      <c r="F39" t="s">
        <v>913</v>
      </c>
    </row>
    <row r="40" spans="1:7" x14ac:dyDescent="0.3">
      <c r="A40" s="51" t="s">
        <v>221</v>
      </c>
      <c r="B40" s="2" t="s">
        <v>334</v>
      </c>
      <c r="C40" s="5" t="s">
        <v>335</v>
      </c>
      <c r="D40" s="47">
        <v>3</v>
      </c>
      <c r="E40" s="5" t="s">
        <v>107</v>
      </c>
      <c r="F40" t="s">
        <v>913</v>
      </c>
    </row>
    <row r="41" spans="1:7" x14ac:dyDescent="0.3">
      <c r="A41" s="51" t="s">
        <v>217</v>
      </c>
      <c r="B41" s="2" t="s">
        <v>448</v>
      </c>
      <c r="C41" s="5" t="s">
        <v>698</v>
      </c>
      <c r="D41" s="47">
        <v>3</v>
      </c>
      <c r="E41" s="5" t="s">
        <v>107</v>
      </c>
      <c r="F41" t="s">
        <v>913</v>
      </c>
    </row>
    <row r="42" spans="1:7" x14ac:dyDescent="0.3">
      <c r="A42" s="51" t="s">
        <v>218</v>
      </c>
      <c r="B42" s="2" t="s">
        <v>418</v>
      </c>
      <c r="C42" s="5" t="s">
        <v>419</v>
      </c>
      <c r="D42" s="47">
        <v>3</v>
      </c>
      <c r="E42" s="5" t="s">
        <v>109</v>
      </c>
      <c r="F42" t="s">
        <v>913</v>
      </c>
    </row>
    <row r="43" spans="1:7" x14ac:dyDescent="0.3">
      <c r="A43" s="51" t="s">
        <v>225</v>
      </c>
      <c r="B43" s="2" t="s">
        <v>699</v>
      </c>
      <c r="C43" s="5" t="s">
        <v>408</v>
      </c>
      <c r="D43" s="47">
        <v>3</v>
      </c>
      <c r="E43" s="5" t="s">
        <v>123</v>
      </c>
      <c r="F43" t="s">
        <v>913</v>
      </c>
    </row>
    <row r="44" spans="1:7" x14ac:dyDescent="0.3">
      <c r="A44" s="51" t="s">
        <v>220</v>
      </c>
      <c r="B44" s="2" t="s">
        <v>328</v>
      </c>
      <c r="C44" s="5" t="s">
        <v>329</v>
      </c>
      <c r="D44" s="47">
        <v>3</v>
      </c>
      <c r="E44" s="5" t="s">
        <v>123</v>
      </c>
      <c r="F44" t="s">
        <v>913</v>
      </c>
    </row>
    <row r="45" spans="1:7" x14ac:dyDescent="0.3">
      <c r="A45" s="51" t="s">
        <v>216</v>
      </c>
      <c r="B45" s="2" t="s">
        <v>418</v>
      </c>
      <c r="C45" s="5" t="s">
        <v>419</v>
      </c>
      <c r="D45" s="47">
        <v>3</v>
      </c>
      <c r="E45" s="5" t="s">
        <v>123</v>
      </c>
      <c r="F45" t="s">
        <v>913</v>
      </c>
    </row>
    <row r="46" spans="1:7" x14ac:dyDescent="0.3">
      <c r="A46" s="51" t="s">
        <v>226</v>
      </c>
      <c r="B46" s="2" t="s">
        <v>447</v>
      </c>
      <c r="C46" s="5" t="s">
        <v>347</v>
      </c>
      <c r="D46" s="2">
        <v>2</v>
      </c>
      <c r="E46" s="5" t="s">
        <v>123</v>
      </c>
      <c r="F46" t="s">
        <v>913</v>
      </c>
    </row>
    <row r="47" spans="1:7" x14ac:dyDescent="0.3">
      <c r="A47" s="51" t="s">
        <v>227</v>
      </c>
      <c r="B47" s="2" t="s">
        <v>447</v>
      </c>
      <c r="C47" s="5" t="s">
        <v>347</v>
      </c>
      <c r="D47" s="2">
        <v>2</v>
      </c>
      <c r="E47" s="5" t="s">
        <v>123</v>
      </c>
      <c r="F47" t="s">
        <v>913</v>
      </c>
    </row>
    <row r="48" spans="1:7" x14ac:dyDescent="0.3">
      <c r="A48" s="51" t="s">
        <v>218</v>
      </c>
      <c r="B48" s="2" t="s">
        <v>433</v>
      </c>
      <c r="C48" s="5" t="s">
        <v>409</v>
      </c>
      <c r="D48" s="47">
        <v>3</v>
      </c>
      <c r="E48" s="5" t="s">
        <v>113</v>
      </c>
      <c r="F48" t="s">
        <v>913</v>
      </c>
    </row>
    <row r="49" spans="1:6" x14ac:dyDescent="0.3">
      <c r="A49" s="51" t="s">
        <v>225</v>
      </c>
      <c r="B49" s="2" t="s">
        <v>700</v>
      </c>
      <c r="C49" s="5" t="s">
        <v>442</v>
      </c>
      <c r="D49" s="47">
        <v>3</v>
      </c>
      <c r="E49" s="5" t="s">
        <v>113</v>
      </c>
      <c r="F49" t="s">
        <v>913</v>
      </c>
    </row>
    <row r="50" spans="1:6" x14ac:dyDescent="0.3">
      <c r="A50" s="52" t="s">
        <v>863</v>
      </c>
      <c r="B50" s="2" t="s">
        <v>428</v>
      </c>
      <c r="C50" s="5" t="s">
        <v>429</v>
      </c>
      <c r="D50" s="47">
        <v>3</v>
      </c>
      <c r="E50" s="53" t="s">
        <v>45</v>
      </c>
      <c r="F50" t="s">
        <v>913</v>
      </c>
    </row>
    <row r="51" spans="1:6" x14ac:dyDescent="0.3">
      <c r="A51" s="52" t="s">
        <v>863</v>
      </c>
      <c r="B51" s="2" t="s">
        <v>436</v>
      </c>
      <c r="C51" s="5" t="s">
        <v>709</v>
      </c>
      <c r="D51" s="47">
        <v>3</v>
      </c>
      <c r="E51" s="53" t="s">
        <v>113</v>
      </c>
      <c r="F51" t="s">
        <v>913</v>
      </c>
    </row>
    <row r="52" spans="1:6" x14ac:dyDescent="0.3">
      <c r="A52" s="51" t="s">
        <v>220</v>
      </c>
      <c r="B52" s="2" t="s">
        <v>420</v>
      </c>
      <c r="C52" s="5" t="s">
        <v>421</v>
      </c>
      <c r="D52" s="2">
        <v>2</v>
      </c>
      <c r="E52" s="5" t="s">
        <v>152</v>
      </c>
      <c r="F52" t="s">
        <v>913</v>
      </c>
    </row>
    <row r="53" spans="1:6" x14ac:dyDescent="0.3">
      <c r="A53" s="51" t="s">
        <v>226</v>
      </c>
      <c r="B53" s="2" t="s">
        <v>700</v>
      </c>
      <c r="C53" s="5" t="s">
        <v>442</v>
      </c>
      <c r="D53" s="47">
        <v>3</v>
      </c>
      <c r="E53" s="5" t="s">
        <v>113</v>
      </c>
      <c r="F53" t="s">
        <v>913</v>
      </c>
    </row>
    <row r="54" spans="1:6" x14ac:dyDescent="0.3">
      <c r="A54" s="51" t="s">
        <v>218</v>
      </c>
      <c r="B54" s="2" t="s">
        <v>324</v>
      </c>
      <c r="C54" s="35" t="s">
        <v>325</v>
      </c>
      <c r="D54" s="2">
        <v>2</v>
      </c>
      <c r="E54" s="5"/>
      <c r="F54" t="s">
        <v>913</v>
      </c>
    </row>
    <row r="55" spans="1:6" x14ac:dyDescent="0.3">
      <c r="A55" s="51" t="s">
        <v>216</v>
      </c>
      <c r="B55" s="2" t="s">
        <v>444</v>
      </c>
      <c r="C55" s="5" t="s">
        <v>445</v>
      </c>
      <c r="D55" s="47">
        <v>3</v>
      </c>
      <c r="E55" s="5" t="s">
        <v>152</v>
      </c>
      <c r="F55" t="s">
        <v>913</v>
      </c>
    </row>
    <row r="56" spans="1:6" x14ac:dyDescent="0.3">
      <c r="A56" s="51" t="s">
        <v>217</v>
      </c>
      <c r="B56" s="2" t="s">
        <v>444</v>
      </c>
      <c r="C56" s="5" t="s">
        <v>445</v>
      </c>
      <c r="D56" s="47">
        <v>3</v>
      </c>
      <c r="E56" s="5" t="s">
        <v>152</v>
      </c>
      <c r="F56" t="s">
        <v>913</v>
      </c>
    </row>
    <row r="57" spans="1:6" x14ac:dyDescent="0.3">
      <c r="A57" s="52" t="s">
        <v>866</v>
      </c>
      <c r="B57" s="2" t="s">
        <v>422</v>
      </c>
      <c r="C57" s="5" t="s">
        <v>399</v>
      </c>
      <c r="D57" s="47">
        <v>3</v>
      </c>
      <c r="E57" s="5" t="s">
        <v>28</v>
      </c>
      <c r="F57" t="s">
        <v>913</v>
      </c>
    </row>
    <row r="58" spans="1:6" x14ac:dyDescent="0.3">
      <c r="A58" s="52" t="s">
        <v>863</v>
      </c>
      <c r="B58" s="2" t="s">
        <v>422</v>
      </c>
      <c r="C58" s="5" t="s">
        <v>399</v>
      </c>
      <c r="D58" s="47">
        <v>3</v>
      </c>
      <c r="E58" s="53" t="s">
        <v>28</v>
      </c>
      <c r="F58" t="s">
        <v>913</v>
      </c>
    </row>
    <row r="59" spans="1:6" x14ac:dyDescent="0.3">
      <c r="A59" s="51" t="s">
        <v>220</v>
      </c>
      <c r="B59" s="2" t="s">
        <v>440</v>
      </c>
      <c r="C59" s="5" t="s">
        <v>338</v>
      </c>
      <c r="D59" s="47">
        <v>3</v>
      </c>
      <c r="E59" s="5" t="s">
        <v>45</v>
      </c>
      <c r="F59" t="s">
        <v>913</v>
      </c>
    </row>
    <row r="60" spans="1:6" x14ac:dyDescent="0.3">
      <c r="A60" s="51" t="s">
        <v>216</v>
      </c>
      <c r="B60" s="2" t="s">
        <v>433</v>
      </c>
      <c r="C60" s="5" t="s">
        <v>409</v>
      </c>
      <c r="D60" s="47">
        <v>3</v>
      </c>
      <c r="E60" s="5" t="s">
        <v>45</v>
      </c>
      <c r="F60" t="s">
        <v>913</v>
      </c>
    </row>
    <row r="61" spans="1:6" x14ac:dyDescent="0.3">
      <c r="A61" s="51" t="s">
        <v>221</v>
      </c>
      <c r="B61" s="2" t="s">
        <v>440</v>
      </c>
      <c r="C61" s="5" t="s">
        <v>338</v>
      </c>
      <c r="D61" s="47">
        <v>3</v>
      </c>
      <c r="E61" s="5" t="s">
        <v>45</v>
      </c>
      <c r="F61" t="s">
        <v>913</v>
      </c>
    </row>
    <row r="62" spans="1:6" x14ac:dyDescent="0.3">
      <c r="A62" s="51" t="s">
        <v>217</v>
      </c>
      <c r="B62" s="2" t="s">
        <v>433</v>
      </c>
      <c r="C62" s="5" t="s">
        <v>409</v>
      </c>
      <c r="D62" s="47">
        <v>3</v>
      </c>
      <c r="E62" s="5" t="s">
        <v>45</v>
      </c>
      <c r="F62" t="s">
        <v>913</v>
      </c>
    </row>
    <row r="63" spans="1:6" x14ac:dyDescent="0.3">
      <c r="A63" s="51" t="s">
        <v>226</v>
      </c>
      <c r="B63" s="2" t="s">
        <v>699</v>
      </c>
      <c r="C63" s="5" t="s">
        <v>408</v>
      </c>
      <c r="D63" s="47">
        <v>3</v>
      </c>
      <c r="E63" s="5" t="s">
        <v>56</v>
      </c>
      <c r="F63" t="s">
        <v>913</v>
      </c>
    </row>
    <row r="64" spans="1:6" x14ac:dyDescent="0.3">
      <c r="A64" s="51" t="s">
        <v>227</v>
      </c>
      <c r="B64" s="2" t="s">
        <v>699</v>
      </c>
      <c r="C64" s="5" t="s">
        <v>408</v>
      </c>
      <c r="D64" s="47">
        <v>3</v>
      </c>
      <c r="E64" s="5" t="s">
        <v>56</v>
      </c>
      <c r="F64" t="s">
        <v>913</v>
      </c>
    </row>
    <row r="65" spans="1:7" x14ac:dyDescent="0.3">
      <c r="A65" s="51" t="s">
        <v>223</v>
      </c>
      <c r="B65" s="2" t="s">
        <v>702</v>
      </c>
      <c r="C65" s="5" t="s">
        <v>446</v>
      </c>
      <c r="D65" s="47">
        <v>3</v>
      </c>
      <c r="E65" s="5" t="s">
        <v>174</v>
      </c>
      <c r="F65" t="s">
        <v>913</v>
      </c>
    </row>
    <row r="66" spans="1:7" x14ac:dyDescent="0.3">
      <c r="A66" s="51" t="s">
        <v>218</v>
      </c>
      <c r="B66" s="2" t="s">
        <v>444</v>
      </c>
      <c r="C66" s="5" t="s">
        <v>445</v>
      </c>
      <c r="D66" s="47">
        <v>3</v>
      </c>
      <c r="E66" s="5" t="s">
        <v>154</v>
      </c>
      <c r="F66" t="s">
        <v>913</v>
      </c>
    </row>
    <row r="67" spans="1:7" x14ac:dyDescent="0.3">
      <c r="A67" s="51" t="s">
        <v>225</v>
      </c>
      <c r="B67" s="2" t="s">
        <v>447</v>
      </c>
      <c r="C67" s="5" t="s">
        <v>347</v>
      </c>
      <c r="D67" s="2">
        <v>2</v>
      </c>
      <c r="E67" s="5" t="s">
        <v>154</v>
      </c>
      <c r="F67" t="s">
        <v>913</v>
      </c>
    </row>
    <row r="68" spans="1:7" x14ac:dyDescent="0.3">
      <c r="A68" s="51" t="s">
        <v>222</v>
      </c>
      <c r="B68" s="2" t="s">
        <v>702</v>
      </c>
      <c r="C68" s="5" t="s">
        <v>446</v>
      </c>
      <c r="D68" s="47">
        <v>3</v>
      </c>
      <c r="E68" s="5" t="s">
        <v>154</v>
      </c>
      <c r="F68" t="s">
        <v>913</v>
      </c>
    </row>
    <row r="69" spans="1:7" x14ac:dyDescent="0.3">
      <c r="A69" s="51" t="s">
        <v>224</v>
      </c>
      <c r="B69" s="2" t="s">
        <v>702</v>
      </c>
      <c r="C69" s="5" t="s">
        <v>446</v>
      </c>
      <c r="D69" s="47">
        <v>3</v>
      </c>
      <c r="E69" s="5" t="s">
        <v>154</v>
      </c>
      <c r="F69" t="s">
        <v>913</v>
      </c>
    </row>
    <row r="70" spans="1:7" x14ac:dyDescent="0.3">
      <c r="A70" s="51" t="s">
        <v>216</v>
      </c>
      <c r="B70" s="2" t="s">
        <v>448</v>
      </c>
      <c r="C70" s="5" t="s">
        <v>698</v>
      </c>
      <c r="D70" s="47">
        <v>3</v>
      </c>
      <c r="E70" s="5" t="s">
        <v>166</v>
      </c>
      <c r="F70" t="s">
        <v>913</v>
      </c>
    </row>
    <row r="71" spans="1:7" x14ac:dyDescent="0.3">
      <c r="A71" s="51" t="s">
        <v>218</v>
      </c>
      <c r="B71" s="2" t="s">
        <v>308</v>
      </c>
      <c r="C71" s="35" t="s">
        <v>697</v>
      </c>
      <c r="D71" s="2">
        <v>2</v>
      </c>
      <c r="E71" s="5"/>
      <c r="F71" t="s">
        <v>913</v>
      </c>
      <c r="G71" s="54" t="s">
        <v>74</v>
      </c>
    </row>
    <row r="72" spans="1:7" x14ac:dyDescent="0.3">
      <c r="A72" s="51" t="s">
        <v>225</v>
      </c>
      <c r="B72" s="2" t="s">
        <v>322</v>
      </c>
      <c r="C72" s="5" t="s">
        <v>323</v>
      </c>
      <c r="D72" s="2">
        <v>2</v>
      </c>
      <c r="E72" s="5"/>
      <c r="F72" t="s">
        <v>913</v>
      </c>
      <c r="G72" s="54" t="s">
        <v>867</v>
      </c>
    </row>
    <row r="73" spans="1:7" x14ac:dyDescent="0.3">
      <c r="A73" s="51" t="s">
        <v>222</v>
      </c>
      <c r="B73" s="2" t="s">
        <v>352</v>
      </c>
      <c r="C73" s="55" t="s">
        <v>868</v>
      </c>
      <c r="D73" s="2">
        <v>2</v>
      </c>
      <c r="E73" s="5"/>
      <c r="F73" t="s">
        <v>913</v>
      </c>
      <c r="G73" s="54" t="s">
        <v>867</v>
      </c>
    </row>
    <row r="74" spans="1:7" x14ac:dyDescent="0.3">
      <c r="A74" s="51" t="s">
        <v>216</v>
      </c>
      <c r="B74" s="2" t="s">
        <v>308</v>
      </c>
      <c r="C74" s="35" t="s">
        <v>697</v>
      </c>
      <c r="D74" s="2">
        <v>2</v>
      </c>
      <c r="E74" s="5"/>
      <c r="F74" t="s">
        <v>913</v>
      </c>
      <c r="G74" s="54" t="s">
        <v>74</v>
      </c>
    </row>
    <row r="75" spans="1:7" x14ac:dyDescent="0.3">
      <c r="A75" s="51" t="s">
        <v>226</v>
      </c>
      <c r="B75" s="2" t="s">
        <v>322</v>
      </c>
      <c r="C75" s="5" t="s">
        <v>323</v>
      </c>
      <c r="D75" s="2">
        <v>2</v>
      </c>
      <c r="E75" s="5"/>
      <c r="F75" t="s">
        <v>913</v>
      </c>
      <c r="G75" s="54" t="s">
        <v>867</v>
      </c>
    </row>
    <row r="76" spans="1:7" x14ac:dyDescent="0.3">
      <c r="A76" s="51" t="s">
        <v>223</v>
      </c>
      <c r="B76" s="2" t="s">
        <v>352</v>
      </c>
      <c r="C76" s="55" t="s">
        <v>868</v>
      </c>
      <c r="D76" s="2">
        <v>2</v>
      </c>
      <c r="E76" s="5"/>
      <c r="F76" t="s">
        <v>913</v>
      </c>
      <c r="G76" s="54" t="s">
        <v>867</v>
      </c>
    </row>
    <row r="77" spans="1:7" x14ac:dyDescent="0.3">
      <c r="A77" s="51" t="s">
        <v>217</v>
      </c>
      <c r="B77" s="2" t="s">
        <v>308</v>
      </c>
      <c r="C77" s="35" t="s">
        <v>697</v>
      </c>
      <c r="D77" s="2">
        <v>2</v>
      </c>
      <c r="E77" s="5"/>
      <c r="F77" t="s">
        <v>913</v>
      </c>
      <c r="G77" s="54" t="s">
        <v>74</v>
      </c>
    </row>
    <row r="78" spans="1:7" x14ac:dyDescent="0.3">
      <c r="A78" s="51" t="s">
        <v>227</v>
      </c>
      <c r="B78" s="2" t="s">
        <v>322</v>
      </c>
      <c r="C78" s="5" t="s">
        <v>323</v>
      </c>
      <c r="D78" s="2">
        <v>2</v>
      </c>
      <c r="E78" s="5"/>
      <c r="F78" t="s">
        <v>913</v>
      </c>
      <c r="G78" s="54" t="s">
        <v>867</v>
      </c>
    </row>
    <row r="79" spans="1:7" x14ac:dyDescent="0.3">
      <c r="A79" s="51" t="s">
        <v>224</v>
      </c>
      <c r="B79" s="2" t="s">
        <v>352</v>
      </c>
      <c r="C79" s="55" t="s">
        <v>868</v>
      </c>
      <c r="D79" s="2">
        <v>2</v>
      </c>
      <c r="E79" s="5"/>
      <c r="F79" t="s">
        <v>913</v>
      </c>
      <c r="G79" s="54" t="s">
        <v>867</v>
      </c>
    </row>
    <row r="80" spans="1:7" x14ac:dyDescent="0.3">
      <c r="A80" s="51" t="s">
        <v>225</v>
      </c>
      <c r="B80" s="2" t="s">
        <v>443</v>
      </c>
      <c r="C80" s="5" t="s">
        <v>701</v>
      </c>
      <c r="D80" s="47">
        <v>3</v>
      </c>
      <c r="E80" s="5" t="s">
        <v>191</v>
      </c>
      <c r="F80" t="s">
        <v>913</v>
      </c>
    </row>
    <row r="81" spans="1:7" x14ac:dyDescent="0.3">
      <c r="A81" s="51" t="s">
        <v>222</v>
      </c>
      <c r="B81" s="2" t="s">
        <v>430</v>
      </c>
      <c r="C81" s="5" t="s">
        <v>437</v>
      </c>
      <c r="D81" s="47">
        <v>3</v>
      </c>
      <c r="E81" s="5" t="s">
        <v>191</v>
      </c>
      <c r="F81" t="s">
        <v>913</v>
      </c>
    </row>
    <row r="82" spans="1:7" x14ac:dyDescent="0.3">
      <c r="A82" s="52" t="s">
        <v>863</v>
      </c>
      <c r="B82" s="2" t="s">
        <v>707</v>
      </c>
      <c r="C82" s="5" t="s">
        <v>708</v>
      </c>
      <c r="D82" s="47">
        <v>3</v>
      </c>
      <c r="E82" s="53" t="s">
        <v>160</v>
      </c>
      <c r="F82" t="s">
        <v>913</v>
      </c>
    </row>
    <row r="83" spans="1:7" x14ac:dyDescent="0.3">
      <c r="A83" s="52" t="s">
        <v>863</v>
      </c>
      <c r="B83" s="5"/>
      <c r="C83" s="5" t="s">
        <v>341</v>
      </c>
      <c r="D83" s="47">
        <v>3</v>
      </c>
      <c r="E83" s="5" t="s">
        <v>191</v>
      </c>
      <c r="F83" t="s">
        <v>913</v>
      </c>
    </row>
    <row r="84" spans="1:7" x14ac:dyDescent="0.3">
      <c r="A84" s="51" t="s">
        <v>226</v>
      </c>
      <c r="B84" s="2" t="s">
        <v>443</v>
      </c>
      <c r="C84" s="5" t="s">
        <v>701</v>
      </c>
      <c r="D84" s="47">
        <v>3</v>
      </c>
      <c r="E84" s="5" t="s">
        <v>191</v>
      </c>
      <c r="F84" t="s">
        <v>913</v>
      </c>
    </row>
    <row r="85" spans="1:7" x14ac:dyDescent="0.3">
      <c r="A85" s="51" t="s">
        <v>223</v>
      </c>
      <c r="B85" s="2" t="s">
        <v>430</v>
      </c>
      <c r="C85" s="5" t="s">
        <v>437</v>
      </c>
      <c r="D85" s="47">
        <v>3</v>
      </c>
      <c r="E85" s="5" t="s">
        <v>191</v>
      </c>
      <c r="F85" t="s">
        <v>913</v>
      </c>
    </row>
    <row r="86" spans="1:7" x14ac:dyDescent="0.3">
      <c r="A86" s="20" t="s">
        <v>201</v>
      </c>
      <c r="B86" s="5" t="s">
        <v>328</v>
      </c>
      <c r="C86" s="5" t="s">
        <v>329</v>
      </c>
      <c r="D86" s="9">
        <v>3</v>
      </c>
      <c r="E86" s="5" t="s">
        <v>52</v>
      </c>
      <c r="F86" t="s">
        <v>913</v>
      </c>
    </row>
    <row r="87" spans="1:7" x14ac:dyDescent="0.3">
      <c r="A87" s="20" t="s">
        <v>201</v>
      </c>
      <c r="B87" s="5" t="s">
        <v>326</v>
      </c>
      <c r="C87" s="5" t="s">
        <v>327</v>
      </c>
      <c r="D87" s="9">
        <v>3</v>
      </c>
      <c r="E87" s="5" t="s">
        <v>40</v>
      </c>
      <c r="F87" t="s">
        <v>913</v>
      </c>
    </row>
    <row r="88" spans="1:7" x14ac:dyDescent="0.3">
      <c r="A88" s="20" t="s">
        <v>201</v>
      </c>
      <c r="B88" s="5" t="s">
        <v>309</v>
      </c>
      <c r="C88" s="5" t="s">
        <v>310</v>
      </c>
      <c r="D88" s="9">
        <v>3</v>
      </c>
      <c r="E88" s="5" t="s">
        <v>49</v>
      </c>
      <c r="F88" t="s">
        <v>913</v>
      </c>
    </row>
    <row r="89" spans="1:7" x14ac:dyDescent="0.3">
      <c r="A89" s="20" t="s">
        <v>201</v>
      </c>
      <c r="B89" s="5" t="s">
        <v>334</v>
      </c>
      <c r="C89" s="5" t="s">
        <v>335</v>
      </c>
      <c r="D89" s="9">
        <v>3</v>
      </c>
      <c r="E89" s="5" t="s">
        <v>18</v>
      </c>
      <c r="F89" t="s">
        <v>913</v>
      </c>
    </row>
    <row r="90" spans="1:7" x14ac:dyDescent="0.3">
      <c r="A90" s="20" t="s">
        <v>201</v>
      </c>
      <c r="B90" s="5" t="s">
        <v>348</v>
      </c>
      <c r="C90" s="5" t="s">
        <v>349</v>
      </c>
      <c r="D90" s="9">
        <v>3</v>
      </c>
      <c r="E90" s="5" t="s">
        <v>117</v>
      </c>
      <c r="F90" t="s">
        <v>913</v>
      </c>
    </row>
    <row r="91" spans="1:7" x14ac:dyDescent="0.3">
      <c r="A91" s="20" t="s">
        <v>201</v>
      </c>
      <c r="B91" s="5" t="s">
        <v>337</v>
      </c>
      <c r="C91" s="5" t="s">
        <v>338</v>
      </c>
      <c r="D91" s="9">
        <v>3</v>
      </c>
      <c r="E91" s="5" t="s">
        <v>154</v>
      </c>
      <c r="F91" t="s">
        <v>913</v>
      </c>
    </row>
    <row r="92" spans="1:7" x14ac:dyDescent="0.3">
      <c r="A92" s="20" t="s">
        <v>199</v>
      </c>
      <c r="B92" s="5" t="s">
        <v>308</v>
      </c>
      <c r="C92" s="35" t="s">
        <v>697</v>
      </c>
      <c r="D92" s="9">
        <v>2</v>
      </c>
      <c r="E92" s="5"/>
      <c r="F92" t="s">
        <v>913</v>
      </c>
      <c r="G92" t="s">
        <v>74</v>
      </c>
    </row>
    <row r="93" spans="1:7" x14ac:dyDescent="0.3">
      <c r="A93" s="20" t="s">
        <v>199</v>
      </c>
      <c r="B93" s="5" t="s">
        <v>354</v>
      </c>
      <c r="C93" s="5" t="s">
        <v>355</v>
      </c>
      <c r="D93" s="9">
        <v>3</v>
      </c>
      <c r="E93" s="5" t="s">
        <v>160</v>
      </c>
      <c r="F93" t="s">
        <v>913</v>
      </c>
    </row>
    <row r="94" spans="1:7" x14ac:dyDescent="0.3">
      <c r="A94" s="20" t="s">
        <v>199</v>
      </c>
      <c r="B94" s="5" t="s">
        <v>710</v>
      </c>
      <c r="C94" s="35" t="s">
        <v>325</v>
      </c>
      <c r="D94" s="9">
        <v>2</v>
      </c>
      <c r="E94" s="5"/>
      <c r="F94" t="s">
        <v>913</v>
      </c>
    </row>
    <row r="95" spans="1:7" x14ac:dyDescent="0.3">
      <c r="A95" s="20" t="s">
        <v>199</v>
      </c>
      <c r="B95" s="5" t="s">
        <v>332</v>
      </c>
      <c r="C95" s="5" t="s">
        <v>333</v>
      </c>
      <c r="D95" s="9">
        <v>3</v>
      </c>
      <c r="E95" s="5" t="s">
        <v>181</v>
      </c>
      <c r="F95" t="s">
        <v>913</v>
      </c>
    </row>
    <row r="96" spans="1:7" x14ac:dyDescent="0.3">
      <c r="A96" s="20" t="s">
        <v>199</v>
      </c>
      <c r="B96" s="5" t="s">
        <v>315</v>
      </c>
      <c r="C96" s="5" t="s">
        <v>316</v>
      </c>
      <c r="D96" s="9">
        <v>3</v>
      </c>
      <c r="E96" s="5" t="s">
        <v>12</v>
      </c>
      <c r="F96" t="s">
        <v>913</v>
      </c>
    </row>
    <row r="97" spans="1:6" x14ac:dyDescent="0.3">
      <c r="A97" s="20" t="s">
        <v>199</v>
      </c>
      <c r="B97" s="5" t="s">
        <v>317</v>
      </c>
      <c r="C97" s="5" t="s">
        <v>318</v>
      </c>
      <c r="D97" s="9">
        <v>3</v>
      </c>
      <c r="E97" s="5" t="s">
        <v>36</v>
      </c>
      <c r="F97" t="s">
        <v>913</v>
      </c>
    </row>
    <row r="98" spans="1:6" x14ac:dyDescent="0.3">
      <c r="A98" s="20" t="s">
        <v>199</v>
      </c>
      <c r="B98" s="5" t="s">
        <v>711</v>
      </c>
      <c r="C98" s="5" t="s">
        <v>321</v>
      </c>
      <c r="D98" s="9">
        <v>2</v>
      </c>
      <c r="E98" s="5"/>
      <c r="F98" t="s">
        <v>913</v>
      </c>
    </row>
    <row r="99" spans="1:6" x14ac:dyDescent="0.3">
      <c r="A99" s="20" t="s">
        <v>197</v>
      </c>
      <c r="B99" s="5" t="s">
        <v>322</v>
      </c>
      <c r="C99" s="5" t="s">
        <v>323</v>
      </c>
      <c r="D99" s="9">
        <v>2</v>
      </c>
      <c r="E99" s="5"/>
      <c r="F99" t="s">
        <v>913</v>
      </c>
    </row>
    <row r="100" spans="1:6" x14ac:dyDescent="0.3">
      <c r="A100" s="20" t="s">
        <v>197</v>
      </c>
      <c r="B100" s="5" t="s">
        <v>319</v>
      </c>
      <c r="C100" s="5" t="s">
        <v>320</v>
      </c>
      <c r="D100" s="9">
        <v>3</v>
      </c>
      <c r="E100" s="5" t="s">
        <v>36</v>
      </c>
      <c r="F100" t="s">
        <v>913</v>
      </c>
    </row>
    <row r="101" spans="1:6" x14ac:dyDescent="0.3">
      <c r="A101" s="20" t="s">
        <v>197</v>
      </c>
      <c r="B101" s="5" t="s">
        <v>344</v>
      </c>
      <c r="C101" s="5" t="s">
        <v>345</v>
      </c>
      <c r="D101" s="9">
        <v>2</v>
      </c>
      <c r="E101" s="5" t="s">
        <v>60</v>
      </c>
      <c r="F101" t="s">
        <v>913</v>
      </c>
    </row>
    <row r="102" spans="1:6" x14ac:dyDescent="0.3">
      <c r="A102" s="20" t="s">
        <v>197</v>
      </c>
      <c r="B102" s="5" t="s">
        <v>313</v>
      </c>
      <c r="C102" s="5" t="s">
        <v>314</v>
      </c>
      <c r="D102" s="9">
        <v>3</v>
      </c>
      <c r="E102" s="5" t="s">
        <v>12</v>
      </c>
      <c r="F102" t="s">
        <v>913</v>
      </c>
    </row>
    <row r="103" spans="1:6" x14ac:dyDescent="0.3">
      <c r="A103" s="20" t="s">
        <v>197</v>
      </c>
      <c r="B103" s="5" t="s">
        <v>342</v>
      </c>
      <c r="C103" s="5" t="s">
        <v>343</v>
      </c>
      <c r="D103" s="9">
        <v>3</v>
      </c>
      <c r="E103" s="5" t="s">
        <v>36</v>
      </c>
      <c r="F103" t="s">
        <v>913</v>
      </c>
    </row>
    <row r="104" spans="1:6" x14ac:dyDescent="0.3">
      <c r="A104" s="20" t="s">
        <v>197</v>
      </c>
      <c r="B104" s="5" t="s">
        <v>339</v>
      </c>
      <c r="C104" s="5" t="s">
        <v>340</v>
      </c>
      <c r="D104" s="9">
        <v>3</v>
      </c>
      <c r="E104" s="5" t="s">
        <v>60</v>
      </c>
      <c r="F104" t="s">
        <v>913</v>
      </c>
    </row>
    <row r="105" spans="1:6" x14ac:dyDescent="0.3">
      <c r="A105" s="20" t="s">
        <v>197</v>
      </c>
      <c r="B105" s="5" t="s">
        <v>350</v>
      </c>
      <c r="C105" s="5" t="s">
        <v>351</v>
      </c>
      <c r="D105" s="9">
        <v>3</v>
      </c>
      <c r="E105" s="5" t="s">
        <v>12</v>
      </c>
      <c r="F105" t="s">
        <v>913</v>
      </c>
    </row>
    <row r="106" spans="1:6" x14ac:dyDescent="0.3">
      <c r="A106" s="20" t="s">
        <v>646</v>
      </c>
      <c r="B106" s="5" t="s">
        <v>352</v>
      </c>
      <c r="C106" s="55" t="s">
        <v>868</v>
      </c>
      <c r="D106" s="9">
        <v>2</v>
      </c>
      <c r="E106" s="5"/>
      <c r="F106" t="s">
        <v>913</v>
      </c>
    </row>
    <row r="107" spans="1:6" x14ac:dyDescent="0.3">
      <c r="A107" s="20" t="s">
        <v>646</v>
      </c>
      <c r="B107" s="5" t="s">
        <v>346</v>
      </c>
      <c r="C107" s="5" t="s">
        <v>347</v>
      </c>
      <c r="D107" s="9">
        <v>3</v>
      </c>
      <c r="E107" s="5" t="s">
        <v>109</v>
      </c>
      <c r="F107" t="s">
        <v>913</v>
      </c>
    </row>
    <row r="108" spans="1:6" x14ac:dyDescent="0.3">
      <c r="A108" s="20" t="s">
        <v>646</v>
      </c>
      <c r="B108" s="56" t="s">
        <v>712</v>
      </c>
      <c r="C108" s="56" t="s">
        <v>713</v>
      </c>
      <c r="D108" s="9">
        <v>3</v>
      </c>
      <c r="E108" s="5" t="s">
        <v>36</v>
      </c>
      <c r="F108" t="s">
        <v>913</v>
      </c>
    </row>
    <row r="109" spans="1:6" x14ac:dyDescent="0.3">
      <c r="A109" s="20" t="s">
        <v>646</v>
      </c>
      <c r="B109" s="56" t="s">
        <v>330</v>
      </c>
      <c r="C109" s="56" t="s">
        <v>331</v>
      </c>
      <c r="D109" s="9">
        <v>3</v>
      </c>
      <c r="E109" s="5" t="s">
        <v>160</v>
      </c>
      <c r="F109" t="s">
        <v>913</v>
      </c>
    </row>
    <row r="110" spans="1:6" x14ac:dyDescent="0.3">
      <c r="A110" s="20" t="s">
        <v>646</v>
      </c>
      <c r="B110" s="56" t="s">
        <v>311</v>
      </c>
      <c r="C110" s="56" t="s">
        <v>312</v>
      </c>
      <c r="D110" s="9">
        <v>3</v>
      </c>
      <c r="E110" s="5" t="s">
        <v>49</v>
      </c>
      <c r="F110" t="s">
        <v>913</v>
      </c>
    </row>
    <row r="111" spans="1:6" x14ac:dyDescent="0.3">
      <c r="A111" s="20" t="s">
        <v>202</v>
      </c>
      <c r="B111" s="5" t="s">
        <v>328</v>
      </c>
      <c r="C111" s="5" t="s">
        <v>329</v>
      </c>
      <c r="D111" s="9">
        <v>3</v>
      </c>
      <c r="E111" s="5"/>
      <c r="F111" t="s">
        <v>913</v>
      </c>
    </row>
    <row r="112" spans="1:6" x14ac:dyDescent="0.3">
      <c r="A112" s="20" t="s">
        <v>202</v>
      </c>
      <c r="B112" s="5" t="s">
        <v>326</v>
      </c>
      <c r="C112" s="5" t="s">
        <v>327</v>
      </c>
      <c r="D112" s="9">
        <v>3</v>
      </c>
      <c r="E112" s="5" t="s">
        <v>40</v>
      </c>
      <c r="F112" t="s">
        <v>913</v>
      </c>
    </row>
    <row r="113" spans="1:7" x14ac:dyDescent="0.3">
      <c r="A113" s="20" t="s">
        <v>202</v>
      </c>
      <c r="B113" s="5" t="s">
        <v>309</v>
      </c>
      <c r="C113" s="5" t="s">
        <v>310</v>
      </c>
      <c r="D113" s="9">
        <v>3</v>
      </c>
      <c r="E113" s="5" t="s">
        <v>49</v>
      </c>
      <c r="F113" t="s">
        <v>913</v>
      </c>
    </row>
    <row r="114" spans="1:7" x14ac:dyDescent="0.3">
      <c r="A114" s="20" t="s">
        <v>202</v>
      </c>
      <c r="B114" s="5" t="s">
        <v>334</v>
      </c>
      <c r="C114" s="5" t="s">
        <v>335</v>
      </c>
      <c r="D114" s="9">
        <v>3</v>
      </c>
      <c r="E114" s="5" t="s">
        <v>18</v>
      </c>
      <c r="F114" t="s">
        <v>913</v>
      </c>
    </row>
    <row r="115" spans="1:7" x14ac:dyDescent="0.3">
      <c r="A115" s="20" t="s">
        <v>202</v>
      </c>
      <c r="B115" s="5" t="s">
        <v>348</v>
      </c>
      <c r="C115" s="5" t="s">
        <v>349</v>
      </c>
      <c r="D115" s="9">
        <v>3</v>
      </c>
      <c r="E115" s="5" t="s">
        <v>117</v>
      </c>
      <c r="F115" t="s">
        <v>913</v>
      </c>
    </row>
    <row r="116" spans="1:7" x14ac:dyDescent="0.3">
      <c r="A116" s="20" t="s">
        <v>202</v>
      </c>
      <c r="B116" s="5" t="s">
        <v>337</v>
      </c>
      <c r="C116" s="5" t="s">
        <v>338</v>
      </c>
      <c r="D116" s="9">
        <v>3</v>
      </c>
      <c r="E116" s="5" t="s">
        <v>109</v>
      </c>
      <c r="F116" t="s">
        <v>913</v>
      </c>
    </row>
    <row r="117" spans="1:7" x14ac:dyDescent="0.3">
      <c r="A117" s="20" t="s">
        <v>200</v>
      </c>
      <c r="B117" s="5" t="s">
        <v>308</v>
      </c>
      <c r="C117" s="35" t="s">
        <v>697</v>
      </c>
      <c r="D117" s="9">
        <v>2</v>
      </c>
      <c r="E117" s="5"/>
      <c r="F117" t="s">
        <v>913</v>
      </c>
      <c r="G117" t="s">
        <v>74</v>
      </c>
    </row>
    <row r="118" spans="1:7" x14ac:dyDescent="0.3">
      <c r="A118" s="20" t="s">
        <v>200</v>
      </c>
      <c r="B118" s="5" t="s">
        <v>354</v>
      </c>
      <c r="C118" s="5" t="s">
        <v>355</v>
      </c>
      <c r="D118" s="9">
        <v>3</v>
      </c>
      <c r="E118" s="5" t="s">
        <v>160</v>
      </c>
      <c r="F118" t="s">
        <v>913</v>
      </c>
    </row>
    <row r="119" spans="1:7" x14ac:dyDescent="0.3">
      <c r="A119" s="20" t="s">
        <v>200</v>
      </c>
      <c r="B119" s="5" t="s">
        <v>710</v>
      </c>
      <c r="C119" s="35" t="s">
        <v>325</v>
      </c>
      <c r="D119" s="9">
        <v>2</v>
      </c>
      <c r="E119" s="5"/>
      <c r="F119" t="s">
        <v>913</v>
      </c>
    </row>
    <row r="120" spans="1:7" x14ac:dyDescent="0.3">
      <c r="A120" s="20" t="s">
        <v>200</v>
      </c>
      <c r="B120" s="5" t="s">
        <v>332</v>
      </c>
      <c r="C120" s="5" t="s">
        <v>333</v>
      </c>
      <c r="D120" s="9">
        <v>3</v>
      </c>
      <c r="E120" s="5" t="s">
        <v>16</v>
      </c>
      <c r="F120" t="s">
        <v>913</v>
      </c>
    </row>
    <row r="121" spans="1:7" x14ac:dyDescent="0.3">
      <c r="A121" s="20" t="s">
        <v>200</v>
      </c>
      <c r="B121" s="5" t="s">
        <v>315</v>
      </c>
      <c r="C121" s="5" t="s">
        <v>316</v>
      </c>
      <c r="D121" s="9">
        <v>3</v>
      </c>
      <c r="E121" s="5" t="s">
        <v>12</v>
      </c>
      <c r="F121" t="s">
        <v>913</v>
      </c>
    </row>
    <row r="122" spans="1:7" x14ac:dyDescent="0.3">
      <c r="A122" s="20" t="s">
        <v>200</v>
      </c>
      <c r="B122" s="5" t="s">
        <v>317</v>
      </c>
      <c r="C122" s="5" t="s">
        <v>318</v>
      </c>
      <c r="D122" s="9">
        <v>3</v>
      </c>
      <c r="E122" s="5" t="s">
        <v>109</v>
      </c>
      <c r="F122" t="s">
        <v>913</v>
      </c>
    </row>
    <row r="123" spans="1:7" x14ac:dyDescent="0.3">
      <c r="A123" s="20" t="s">
        <v>200</v>
      </c>
      <c r="B123" s="5" t="s">
        <v>711</v>
      </c>
      <c r="C123" s="5" t="s">
        <v>321</v>
      </c>
      <c r="D123" s="9">
        <v>2</v>
      </c>
      <c r="E123" s="5"/>
      <c r="F123" t="s">
        <v>913</v>
      </c>
    </row>
    <row r="124" spans="1:7" x14ac:dyDescent="0.3">
      <c r="A124" s="20" t="s">
        <v>198</v>
      </c>
      <c r="B124" s="5" t="s">
        <v>322</v>
      </c>
      <c r="C124" s="5" t="s">
        <v>323</v>
      </c>
      <c r="D124" s="9">
        <v>2</v>
      </c>
      <c r="E124" s="5"/>
      <c r="F124" t="s">
        <v>913</v>
      </c>
    </row>
    <row r="125" spans="1:7" x14ac:dyDescent="0.3">
      <c r="A125" s="20" t="s">
        <v>198</v>
      </c>
      <c r="B125" s="5" t="s">
        <v>319</v>
      </c>
      <c r="C125" s="5" t="s">
        <v>320</v>
      </c>
      <c r="D125" s="9">
        <v>3</v>
      </c>
      <c r="E125" s="5" t="s">
        <v>690</v>
      </c>
      <c r="F125" t="s">
        <v>913</v>
      </c>
    </row>
    <row r="126" spans="1:7" x14ac:dyDescent="0.3">
      <c r="A126" s="20" t="s">
        <v>198</v>
      </c>
      <c r="B126" s="5" t="s">
        <v>344</v>
      </c>
      <c r="C126" s="5" t="s">
        <v>345</v>
      </c>
      <c r="D126" s="9">
        <v>2</v>
      </c>
      <c r="E126" s="5" t="s">
        <v>60</v>
      </c>
      <c r="F126" t="s">
        <v>913</v>
      </c>
    </row>
    <row r="127" spans="1:7" x14ac:dyDescent="0.3">
      <c r="A127" s="20" t="s">
        <v>198</v>
      </c>
      <c r="B127" s="5" t="s">
        <v>313</v>
      </c>
      <c r="C127" s="5" t="s">
        <v>314</v>
      </c>
      <c r="D127" s="9">
        <v>3</v>
      </c>
      <c r="E127" s="5" t="s">
        <v>12</v>
      </c>
      <c r="F127" t="s">
        <v>913</v>
      </c>
    </row>
    <row r="128" spans="1:7" x14ac:dyDescent="0.3">
      <c r="A128" s="20" t="s">
        <v>198</v>
      </c>
      <c r="B128" s="5" t="s">
        <v>342</v>
      </c>
      <c r="C128" s="5" t="s">
        <v>343</v>
      </c>
      <c r="D128" s="9">
        <v>3</v>
      </c>
      <c r="E128" s="5" t="s">
        <v>49</v>
      </c>
      <c r="F128" t="s">
        <v>913</v>
      </c>
    </row>
    <row r="129" spans="1:7" x14ac:dyDescent="0.3">
      <c r="A129" s="20" t="s">
        <v>198</v>
      </c>
      <c r="B129" s="5" t="s">
        <v>339</v>
      </c>
      <c r="C129" s="5" t="s">
        <v>340</v>
      </c>
      <c r="D129" s="9">
        <v>3</v>
      </c>
      <c r="E129" s="5" t="s">
        <v>60</v>
      </c>
      <c r="F129" t="s">
        <v>913</v>
      </c>
    </row>
    <row r="130" spans="1:7" x14ac:dyDescent="0.3">
      <c r="A130" s="20" t="s">
        <v>198</v>
      </c>
      <c r="B130" s="5" t="s">
        <v>350</v>
      </c>
      <c r="C130" s="5" t="s">
        <v>351</v>
      </c>
      <c r="D130" s="9">
        <v>3</v>
      </c>
      <c r="E130" s="5" t="s">
        <v>690</v>
      </c>
      <c r="F130" t="s">
        <v>913</v>
      </c>
    </row>
    <row r="131" spans="1:7" x14ac:dyDescent="0.3">
      <c r="A131" s="20" t="s">
        <v>647</v>
      </c>
      <c r="B131" s="5" t="s">
        <v>352</v>
      </c>
      <c r="C131" s="55" t="s">
        <v>868</v>
      </c>
      <c r="D131" s="9">
        <v>2</v>
      </c>
      <c r="E131" s="5"/>
      <c r="F131" t="s">
        <v>913</v>
      </c>
    </row>
    <row r="132" spans="1:7" x14ac:dyDescent="0.3">
      <c r="A132" s="20" t="s">
        <v>647</v>
      </c>
      <c r="B132" s="5" t="s">
        <v>346</v>
      </c>
      <c r="C132" s="5" t="s">
        <v>347</v>
      </c>
      <c r="D132" s="9">
        <v>3</v>
      </c>
      <c r="E132" s="5"/>
      <c r="F132" t="s">
        <v>913</v>
      </c>
    </row>
    <row r="133" spans="1:7" x14ac:dyDescent="0.3">
      <c r="A133" s="20" t="s">
        <v>207</v>
      </c>
      <c r="B133" s="2" t="s">
        <v>328</v>
      </c>
      <c r="C133" s="5" t="s">
        <v>329</v>
      </c>
      <c r="D133" s="2">
        <v>3</v>
      </c>
      <c r="E133" s="5" t="s">
        <v>181</v>
      </c>
      <c r="F133" t="s">
        <v>913</v>
      </c>
    </row>
    <row r="134" spans="1:7" x14ac:dyDescent="0.3">
      <c r="A134" s="20" t="s">
        <v>207</v>
      </c>
      <c r="B134" s="2" t="s">
        <v>308</v>
      </c>
      <c r="C134" s="35" t="s">
        <v>697</v>
      </c>
      <c r="D134" s="2">
        <v>2</v>
      </c>
      <c r="E134" s="5" t="s">
        <v>119</v>
      </c>
      <c r="F134" t="s">
        <v>913</v>
      </c>
    </row>
    <row r="135" spans="1:7" x14ac:dyDescent="0.3">
      <c r="A135" s="20" t="s">
        <v>207</v>
      </c>
      <c r="B135" s="2" t="s">
        <v>322</v>
      </c>
      <c r="C135" s="5" t="s">
        <v>323</v>
      </c>
      <c r="D135" s="2">
        <v>2</v>
      </c>
      <c r="E135" s="5"/>
      <c r="F135" t="s">
        <v>913</v>
      </c>
      <c r="G135" s="54" t="s">
        <v>668</v>
      </c>
    </row>
    <row r="136" spans="1:7" x14ac:dyDescent="0.3">
      <c r="A136" s="20" t="s">
        <v>207</v>
      </c>
      <c r="B136" s="2" t="s">
        <v>397</v>
      </c>
      <c r="C136" s="5" t="s">
        <v>398</v>
      </c>
      <c r="D136" s="2">
        <v>2</v>
      </c>
      <c r="E136" s="5"/>
      <c r="F136" t="s">
        <v>913</v>
      </c>
      <c r="G136" s="54" t="s">
        <v>869</v>
      </c>
    </row>
    <row r="137" spans="1:7" x14ac:dyDescent="0.3">
      <c r="A137" s="20" t="s">
        <v>207</v>
      </c>
      <c r="B137" s="2" t="s">
        <v>410</v>
      </c>
      <c r="C137" s="5" t="s">
        <v>411</v>
      </c>
      <c r="D137" s="2">
        <v>3</v>
      </c>
      <c r="E137" s="5" t="s">
        <v>24</v>
      </c>
      <c r="F137" t="s">
        <v>913</v>
      </c>
    </row>
    <row r="138" spans="1:7" x14ac:dyDescent="0.3">
      <c r="A138" s="20" t="s">
        <v>207</v>
      </c>
      <c r="B138" s="2" t="s">
        <v>326</v>
      </c>
      <c r="C138" s="5" t="s">
        <v>403</v>
      </c>
      <c r="D138" s="2">
        <v>3</v>
      </c>
      <c r="E138" s="5" t="s">
        <v>40</v>
      </c>
      <c r="F138" t="s">
        <v>913</v>
      </c>
    </row>
    <row r="139" spans="1:7" x14ac:dyDescent="0.3">
      <c r="A139" s="20" t="s">
        <v>207</v>
      </c>
      <c r="B139" s="2" t="s">
        <v>401</v>
      </c>
      <c r="C139" s="5" t="s">
        <v>402</v>
      </c>
      <c r="D139" s="2">
        <v>3</v>
      </c>
      <c r="E139" s="5" t="s">
        <v>14</v>
      </c>
      <c r="F139" t="s">
        <v>913</v>
      </c>
    </row>
    <row r="140" spans="1:7" x14ac:dyDescent="0.3">
      <c r="A140" s="20" t="s">
        <v>207</v>
      </c>
      <c r="B140" s="2" t="s">
        <v>394</v>
      </c>
      <c r="C140" s="5" t="s">
        <v>395</v>
      </c>
      <c r="D140" s="2">
        <v>3</v>
      </c>
      <c r="E140" s="5" t="s">
        <v>8</v>
      </c>
      <c r="F140" t="s">
        <v>913</v>
      </c>
    </row>
    <row r="141" spans="1:7" x14ac:dyDescent="0.3">
      <c r="A141" s="51" t="s">
        <v>206</v>
      </c>
      <c r="B141" s="57" t="s">
        <v>714</v>
      </c>
      <c r="C141" s="5" t="s">
        <v>414</v>
      </c>
      <c r="D141" s="2">
        <v>3</v>
      </c>
      <c r="E141" s="5" t="s">
        <v>117</v>
      </c>
      <c r="F141" t="s">
        <v>913</v>
      </c>
    </row>
    <row r="142" spans="1:7" x14ac:dyDescent="0.3">
      <c r="A142" s="51" t="s">
        <v>206</v>
      </c>
      <c r="B142" s="57" t="s">
        <v>354</v>
      </c>
      <c r="C142" s="5" t="s">
        <v>355</v>
      </c>
      <c r="D142" s="2">
        <v>3</v>
      </c>
      <c r="E142" s="5" t="s">
        <v>690</v>
      </c>
      <c r="F142" t="s">
        <v>913</v>
      </c>
    </row>
    <row r="143" spans="1:7" x14ac:dyDescent="0.3">
      <c r="A143" s="51" t="s">
        <v>206</v>
      </c>
      <c r="B143" s="57" t="s">
        <v>715</v>
      </c>
      <c r="C143" s="5" t="s">
        <v>333</v>
      </c>
      <c r="D143" s="2">
        <v>3</v>
      </c>
      <c r="E143" s="5" t="s">
        <v>40</v>
      </c>
      <c r="F143" t="s">
        <v>913</v>
      </c>
    </row>
    <row r="144" spans="1:7" x14ac:dyDescent="0.3">
      <c r="A144" s="51" t="s">
        <v>206</v>
      </c>
      <c r="B144" s="2" t="s">
        <v>716</v>
      </c>
      <c r="C144" s="5" t="s">
        <v>717</v>
      </c>
      <c r="D144" s="2">
        <v>3</v>
      </c>
      <c r="E144" s="5" t="s">
        <v>119</v>
      </c>
      <c r="F144" t="s">
        <v>913</v>
      </c>
    </row>
    <row r="145" spans="1:7" x14ac:dyDescent="0.3">
      <c r="A145" s="51" t="s">
        <v>206</v>
      </c>
      <c r="B145" s="2" t="s">
        <v>718</v>
      </c>
      <c r="C145" s="5" t="s">
        <v>412</v>
      </c>
      <c r="D145" s="2">
        <v>3</v>
      </c>
      <c r="E145" s="5" t="s">
        <v>24</v>
      </c>
      <c r="F145" t="s">
        <v>913</v>
      </c>
    </row>
    <row r="146" spans="1:7" x14ac:dyDescent="0.3">
      <c r="A146" s="51" t="s">
        <v>206</v>
      </c>
      <c r="B146" s="2" t="s">
        <v>719</v>
      </c>
      <c r="C146" s="5" t="s">
        <v>396</v>
      </c>
      <c r="D146" s="2">
        <v>3</v>
      </c>
      <c r="E146" s="5" t="s">
        <v>8</v>
      </c>
      <c r="F146" t="s">
        <v>913</v>
      </c>
    </row>
    <row r="147" spans="1:7" x14ac:dyDescent="0.3">
      <c r="A147" s="51" t="s">
        <v>206</v>
      </c>
      <c r="B147" s="2" t="s">
        <v>720</v>
      </c>
      <c r="C147" s="5" t="s">
        <v>415</v>
      </c>
      <c r="D147" s="2">
        <v>3</v>
      </c>
      <c r="E147" s="5"/>
      <c r="F147" t="s">
        <v>913</v>
      </c>
      <c r="G147" s="54" t="s">
        <v>869</v>
      </c>
    </row>
    <row r="148" spans="1:7" x14ac:dyDescent="0.3">
      <c r="A148" s="51" t="s">
        <v>665</v>
      </c>
      <c r="B148" s="57" t="s">
        <v>721</v>
      </c>
      <c r="C148" s="5" t="s">
        <v>722</v>
      </c>
      <c r="D148" s="2">
        <v>3</v>
      </c>
      <c r="E148" s="5" t="s">
        <v>119</v>
      </c>
      <c r="F148" t="s">
        <v>258</v>
      </c>
      <c r="G148" t="s">
        <v>870</v>
      </c>
    </row>
    <row r="149" spans="1:7" x14ac:dyDescent="0.3">
      <c r="A149" s="51" t="s">
        <v>208</v>
      </c>
      <c r="B149" s="2" t="s">
        <v>723</v>
      </c>
      <c r="C149" s="5" t="s">
        <v>400</v>
      </c>
      <c r="D149" s="2">
        <v>3</v>
      </c>
      <c r="E149" s="5" t="s">
        <v>14</v>
      </c>
    </row>
    <row r="150" spans="1:7" x14ac:dyDescent="0.3">
      <c r="A150" s="51" t="s">
        <v>208</v>
      </c>
      <c r="B150" s="2" t="s">
        <v>724</v>
      </c>
      <c r="C150" s="5" t="s">
        <v>725</v>
      </c>
      <c r="D150" s="2">
        <v>3</v>
      </c>
      <c r="E150" s="5" t="s">
        <v>181</v>
      </c>
    </row>
    <row r="151" spans="1:7" x14ac:dyDescent="0.3">
      <c r="A151" s="51" t="s">
        <v>665</v>
      </c>
      <c r="B151" s="2" t="s">
        <v>726</v>
      </c>
      <c r="C151" s="5" t="s">
        <v>399</v>
      </c>
      <c r="D151" s="2">
        <v>3</v>
      </c>
      <c r="E151" s="5" t="s">
        <v>28</v>
      </c>
      <c r="F151" t="s">
        <v>258</v>
      </c>
      <c r="G151" t="s">
        <v>870</v>
      </c>
    </row>
    <row r="152" spans="1:7" ht="28.8" x14ac:dyDescent="0.3">
      <c r="A152" s="51" t="s">
        <v>665</v>
      </c>
      <c r="B152" s="2" t="s">
        <v>727</v>
      </c>
      <c r="C152" s="58" t="s">
        <v>728</v>
      </c>
      <c r="D152" s="2">
        <v>3</v>
      </c>
      <c r="E152" s="5" t="s">
        <v>24</v>
      </c>
      <c r="F152" t="s">
        <v>258</v>
      </c>
      <c r="G152" t="s">
        <v>870</v>
      </c>
    </row>
    <row r="153" spans="1:7" x14ac:dyDescent="0.3">
      <c r="A153" s="51" t="s">
        <v>665</v>
      </c>
      <c r="B153" s="2" t="s">
        <v>729</v>
      </c>
      <c r="C153" s="5" t="s">
        <v>407</v>
      </c>
      <c r="D153" s="2">
        <v>3</v>
      </c>
      <c r="E153" s="5" t="s">
        <v>871</v>
      </c>
      <c r="F153" t="s">
        <v>258</v>
      </c>
      <c r="G153" t="s">
        <v>870</v>
      </c>
    </row>
    <row r="154" spans="1:7" x14ac:dyDescent="0.3">
      <c r="A154" s="51" t="s">
        <v>208</v>
      </c>
      <c r="B154" s="2" t="s">
        <v>730</v>
      </c>
      <c r="C154" s="5" t="s">
        <v>731</v>
      </c>
      <c r="D154" s="2">
        <v>3</v>
      </c>
      <c r="E154" s="5" t="s">
        <v>40</v>
      </c>
    </row>
    <row r="155" spans="1:7" x14ac:dyDescent="0.3">
      <c r="A155" s="51" t="s">
        <v>649</v>
      </c>
      <c r="B155" s="2" t="s">
        <v>405</v>
      </c>
      <c r="C155" s="5" t="s">
        <v>406</v>
      </c>
      <c r="D155" s="2">
        <v>3</v>
      </c>
      <c r="E155" s="5"/>
      <c r="G155" s="54" t="s">
        <v>872</v>
      </c>
    </row>
    <row r="156" spans="1:7" x14ac:dyDescent="0.3">
      <c r="A156" s="51" t="s">
        <v>649</v>
      </c>
      <c r="B156" s="2" t="s">
        <v>416</v>
      </c>
      <c r="C156" s="5" t="s">
        <v>417</v>
      </c>
      <c r="D156" s="2">
        <v>2</v>
      </c>
      <c r="E156" s="5"/>
      <c r="G156" s="54" t="s">
        <v>668</v>
      </c>
    </row>
    <row r="157" spans="1:7" x14ac:dyDescent="0.3">
      <c r="A157" s="51" t="s">
        <v>649</v>
      </c>
      <c r="B157" s="5" t="s">
        <v>352</v>
      </c>
      <c r="C157" s="55" t="s">
        <v>868</v>
      </c>
      <c r="D157" s="2">
        <v>2</v>
      </c>
      <c r="E157" s="5"/>
      <c r="G157" s="54" t="s">
        <v>668</v>
      </c>
    </row>
    <row r="158" spans="1:7" x14ac:dyDescent="0.3">
      <c r="A158" s="51" t="s">
        <v>649</v>
      </c>
      <c r="B158" s="2" t="s">
        <v>404</v>
      </c>
      <c r="C158" s="5" t="s">
        <v>502</v>
      </c>
      <c r="D158" s="2">
        <v>3</v>
      </c>
      <c r="E158" s="5"/>
      <c r="G158" s="54" t="s">
        <v>872</v>
      </c>
    </row>
    <row r="159" spans="1:7" x14ac:dyDescent="0.3">
      <c r="A159" s="51" t="s">
        <v>649</v>
      </c>
      <c r="B159" s="2" t="s">
        <v>732</v>
      </c>
      <c r="C159" s="5" t="s">
        <v>413</v>
      </c>
      <c r="D159" s="2">
        <v>3</v>
      </c>
      <c r="E159" s="5"/>
      <c r="G159" s="54" t="s">
        <v>872</v>
      </c>
    </row>
    <row r="160" spans="1:7" x14ac:dyDescent="0.3">
      <c r="A160" s="51" t="s">
        <v>209</v>
      </c>
      <c r="B160" s="2" t="s">
        <v>723</v>
      </c>
      <c r="C160" s="5" t="s">
        <v>400</v>
      </c>
      <c r="D160" s="2">
        <v>3</v>
      </c>
      <c r="E160" s="5" t="s">
        <v>119</v>
      </c>
    </row>
    <row r="161" spans="1:6" x14ac:dyDescent="0.3">
      <c r="A161" s="51" t="s">
        <v>209</v>
      </c>
      <c r="B161" s="2" t="s">
        <v>724</v>
      </c>
      <c r="C161" s="5" t="s">
        <v>725</v>
      </c>
      <c r="D161" s="2">
        <v>3</v>
      </c>
      <c r="E161" s="5" t="s">
        <v>181</v>
      </c>
    </row>
    <row r="162" spans="1:6" x14ac:dyDescent="0.3">
      <c r="A162" s="51" t="s">
        <v>209</v>
      </c>
      <c r="B162" s="2" t="s">
        <v>730</v>
      </c>
      <c r="C162" s="5" t="s">
        <v>731</v>
      </c>
      <c r="D162" s="2">
        <v>3</v>
      </c>
      <c r="E162" s="5" t="s">
        <v>8</v>
      </c>
    </row>
    <row r="163" spans="1:6" x14ac:dyDescent="0.3">
      <c r="A163" s="20" t="s">
        <v>228</v>
      </c>
      <c r="B163" s="9" t="s">
        <v>454</v>
      </c>
      <c r="C163" s="20" t="s">
        <v>733</v>
      </c>
      <c r="D163" s="59">
        <v>3</v>
      </c>
      <c r="E163" s="5" t="s">
        <v>140</v>
      </c>
    </row>
    <row r="164" spans="1:6" x14ac:dyDescent="0.3">
      <c r="A164" s="20" t="s">
        <v>228</v>
      </c>
      <c r="B164" s="60" t="s">
        <v>453</v>
      </c>
      <c r="C164" s="20" t="s">
        <v>734</v>
      </c>
      <c r="D164" s="59">
        <v>3</v>
      </c>
      <c r="E164" s="5" t="s">
        <v>34</v>
      </c>
    </row>
    <row r="165" spans="1:6" x14ac:dyDescent="0.3">
      <c r="A165" s="20" t="s">
        <v>228</v>
      </c>
      <c r="B165" s="60" t="s">
        <v>457</v>
      </c>
      <c r="C165" s="20" t="s">
        <v>735</v>
      </c>
      <c r="D165" s="59">
        <v>3</v>
      </c>
      <c r="E165" s="5" t="s">
        <v>38</v>
      </c>
    </row>
    <row r="166" spans="1:6" x14ac:dyDescent="0.3">
      <c r="A166" s="20" t="s">
        <v>228</v>
      </c>
      <c r="B166" s="46" t="s">
        <v>463</v>
      </c>
      <c r="C166" s="20" t="s">
        <v>736</v>
      </c>
      <c r="D166" s="59">
        <v>3</v>
      </c>
      <c r="E166" s="5" t="s">
        <v>134</v>
      </c>
    </row>
    <row r="167" spans="1:6" x14ac:dyDescent="0.3">
      <c r="A167" s="20" t="s">
        <v>228</v>
      </c>
      <c r="B167" s="61" t="s">
        <v>465</v>
      </c>
      <c r="C167" s="20" t="s">
        <v>737</v>
      </c>
      <c r="D167" s="59">
        <v>2</v>
      </c>
      <c r="E167" s="5" t="s">
        <v>34</v>
      </c>
      <c r="F167" t="s">
        <v>914</v>
      </c>
    </row>
    <row r="168" spans="1:6" x14ac:dyDescent="0.3">
      <c r="A168" s="20" t="s">
        <v>228</v>
      </c>
      <c r="B168" s="61" t="s">
        <v>467</v>
      </c>
      <c r="C168" s="20" t="s">
        <v>738</v>
      </c>
      <c r="D168" s="9">
        <v>2</v>
      </c>
      <c r="E168" s="5" t="s">
        <v>34</v>
      </c>
    </row>
    <row r="169" spans="1:6" x14ac:dyDescent="0.3">
      <c r="A169" s="20" t="s">
        <v>228</v>
      </c>
      <c r="B169" s="60" t="s">
        <v>356</v>
      </c>
      <c r="C169" s="35" t="s">
        <v>357</v>
      </c>
      <c r="D169" s="9">
        <v>2</v>
      </c>
      <c r="E169" s="5"/>
    </row>
    <row r="170" spans="1:6" x14ac:dyDescent="0.3">
      <c r="A170" s="51" t="s">
        <v>229</v>
      </c>
      <c r="B170" s="61" t="s">
        <v>462</v>
      </c>
      <c r="C170" s="20" t="s">
        <v>739</v>
      </c>
      <c r="D170" s="59">
        <v>3</v>
      </c>
      <c r="E170" s="5" t="s">
        <v>146</v>
      </c>
    </row>
    <row r="171" spans="1:6" x14ac:dyDescent="0.3">
      <c r="A171" s="51" t="s">
        <v>229</v>
      </c>
      <c r="B171" s="59" t="s">
        <v>471</v>
      </c>
      <c r="C171" s="20" t="s">
        <v>740</v>
      </c>
      <c r="D171" s="59">
        <v>3</v>
      </c>
      <c r="E171" s="5" t="s">
        <v>10</v>
      </c>
    </row>
    <row r="172" spans="1:6" x14ac:dyDescent="0.3">
      <c r="A172" s="51" t="s">
        <v>229</v>
      </c>
      <c r="B172" s="61" t="s">
        <v>472</v>
      </c>
      <c r="C172" s="20" t="s">
        <v>741</v>
      </c>
      <c r="D172" s="59">
        <v>3</v>
      </c>
      <c r="E172" s="5" t="s">
        <v>146</v>
      </c>
    </row>
    <row r="173" spans="1:6" x14ac:dyDescent="0.3">
      <c r="A173" s="51" t="s">
        <v>229</v>
      </c>
      <c r="B173" s="60" t="s">
        <v>742</v>
      </c>
      <c r="C173" s="20" t="s">
        <v>743</v>
      </c>
      <c r="D173" s="59">
        <v>3</v>
      </c>
      <c r="E173" s="5" t="s">
        <v>134</v>
      </c>
    </row>
    <row r="174" spans="1:6" x14ac:dyDescent="0.3">
      <c r="A174" s="51" t="s">
        <v>229</v>
      </c>
      <c r="B174" s="60" t="s">
        <v>452</v>
      </c>
      <c r="C174" s="20" t="s">
        <v>744</v>
      </c>
      <c r="D174" s="59">
        <v>3</v>
      </c>
      <c r="E174" s="5" t="s">
        <v>134</v>
      </c>
    </row>
    <row r="175" spans="1:6" x14ac:dyDescent="0.3">
      <c r="A175" s="51" t="s">
        <v>229</v>
      </c>
      <c r="B175" s="61" t="s">
        <v>466</v>
      </c>
      <c r="C175" s="20" t="s">
        <v>745</v>
      </c>
      <c r="D175" s="9">
        <v>2</v>
      </c>
      <c r="E175" s="5"/>
    </row>
    <row r="176" spans="1:6" x14ac:dyDescent="0.3">
      <c r="A176" s="51" t="s">
        <v>229</v>
      </c>
      <c r="B176" s="59" t="s">
        <v>746</v>
      </c>
      <c r="C176" s="20" t="s">
        <v>747</v>
      </c>
      <c r="D176" s="59">
        <v>3</v>
      </c>
      <c r="E176" s="5"/>
    </row>
    <row r="177" spans="1:7" x14ac:dyDescent="0.3">
      <c r="A177" s="51" t="s">
        <v>230</v>
      </c>
      <c r="B177" s="61" t="s">
        <v>468</v>
      </c>
      <c r="C177" s="20" t="s">
        <v>748</v>
      </c>
      <c r="D177" s="59">
        <v>3</v>
      </c>
      <c r="E177" s="5" t="s">
        <v>146</v>
      </c>
    </row>
    <row r="178" spans="1:7" x14ac:dyDescent="0.3">
      <c r="A178" s="51" t="s">
        <v>230</v>
      </c>
      <c r="B178" s="59" t="s">
        <v>470</v>
      </c>
      <c r="C178" s="20" t="s">
        <v>749</v>
      </c>
      <c r="D178" s="59">
        <v>3</v>
      </c>
      <c r="E178" s="5" t="s">
        <v>34</v>
      </c>
    </row>
    <row r="179" spans="1:7" x14ac:dyDescent="0.3">
      <c r="A179" s="51" t="s">
        <v>230</v>
      </c>
      <c r="B179" s="61" t="s">
        <v>450</v>
      </c>
      <c r="C179" s="20" t="s">
        <v>750</v>
      </c>
      <c r="D179" s="59">
        <v>3</v>
      </c>
      <c r="E179" s="5" t="s">
        <v>58</v>
      </c>
    </row>
    <row r="180" spans="1:7" x14ac:dyDescent="0.3">
      <c r="A180" s="51" t="s">
        <v>230</v>
      </c>
      <c r="B180" s="60" t="s">
        <v>461</v>
      </c>
      <c r="C180" s="20" t="s">
        <v>751</v>
      </c>
      <c r="D180" s="59">
        <v>3</v>
      </c>
      <c r="E180" s="5" t="s">
        <v>58</v>
      </c>
    </row>
    <row r="181" spans="1:7" x14ac:dyDescent="0.3">
      <c r="A181" s="51" t="s">
        <v>230</v>
      </c>
      <c r="B181" s="61" t="s">
        <v>459</v>
      </c>
      <c r="C181" s="20" t="s">
        <v>752</v>
      </c>
      <c r="D181" s="9">
        <v>2</v>
      </c>
      <c r="E181" s="5" t="s">
        <v>54</v>
      </c>
    </row>
    <row r="182" spans="1:7" x14ac:dyDescent="0.3">
      <c r="A182" s="51" t="s">
        <v>230</v>
      </c>
      <c r="B182" s="61" t="s">
        <v>469</v>
      </c>
      <c r="C182" s="20" t="s">
        <v>753</v>
      </c>
      <c r="D182" s="59">
        <v>3</v>
      </c>
      <c r="E182" s="5" t="s">
        <v>10</v>
      </c>
    </row>
    <row r="183" spans="1:7" x14ac:dyDescent="0.3">
      <c r="A183" s="51" t="s">
        <v>230</v>
      </c>
      <c r="B183" s="60" t="s">
        <v>352</v>
      </c>
      <c r="C183" s="55" t="s">
        <v>868</v>
      </c>
      <c r="D183" s="9">
        <v>2</v>
      </c>
      <c r="E183" s="5" t="s">
        <v>54</v>
      </c>
    </row>
    <row r="184" spans="1:7" x14ac:dyDescent="0.3">
      <c r="A184" s="51" t="s">
        <v>232</v>
      </c>
      <c r="B184" s="59" t="s">
        <v>464</v>
      </c>
      <c r="C184" s="20" t="s">
        <v>754</v>
      </c>
      <c r="D184" s="59">
        <v>3</v>
      </c>
      <c r="E184" s="5" t="s">
        <v>10</v>
      </c>
    </row>
    <row r="185" spans="1:7" x14ac:dyDescent="0.3">
      <c r="A185" s="51" t="s">
        <v>232</v>
      </c>
      <c r="B185" s="59" t="s">
        <v>449</v>
      </c>
      <c r="C185" s="20" t="s">
        <v>755</v>
      </c>
      <c r="D185" s="59">
        <v>3</v>
      </c>
      <c r="E185" s="5" t="s">
        <v>58</v>
      </c>
    </row>
    <row r="186" spans="1:7" x14ac:dyDescent="0.3">
      <c r="A186" s="51" t="s">
        <v>232</v>
      </c>
      <c r="B186" s="59" t="s">
        <v>456</v>
      </c>
      <c r="C186" s="20" t="s">
        <v>756</v>
      </c>
      <c r="D186" s="59">
        <v>3</v>
      </c>
      <c r="E186" s="5" t="s">
        <v>34</v>
      </c>
    </row>
    <row r="187" spans="1:7" x14ac:dyDescent="0.3">
      <c r="A187" s="51" t="s">
        <v>232</v>
      </c>
      <c r="B187" s="59"/>
      <c r="C187" s="20" t="s">
        <v>757</v>
      </c>
      <c r="D187" s="59">
        <v>3</v>
      </c>
      <c r="E187" s="5" t="s">
        <v>54</v>
      </c>
    </row>
    <row r="188" spans="1:7" x14ac:dyDescent="0.3">
      <c r="A188" s="51" t="s">
        <v>232</v>
      </c>
      <c r="B188" s="59"/>
      <c r="C188" s="58" t="s">
        <v>758</v>
      </c>
      <c r="D188" s="59">
        <v>3</v>
      </c>
      <c r="E188" s="5" t="s">
        <v>134</v>
      </c>
    </row>
    <row r="189" spans="1:7" x14ac:dyDescent="0.3">
      <c r="A189" s="51" t="s">
        <v>232</v>
      </c>
      <c r="B189" s="59"/>
      <c r="C189" s="58" t="s">
        <v>759</v>
      </c>
      <c r="D189" s="59">
        <v>3</v>
      </c>
      <c r="E189" s="5" t="s">
        <v>146</v>
      </c>
    </row>
    <row r="190" spans="1:7" x14ac:dyDescent="0.3">
      <c r="A190" s="51" t="s">
        <v>231</v>
      </c>
      <c r="B190" s="61" t="s">
        <v>468</v>
      </c>
      <c r="C190" s="20" t="s">
        <v>748</v>
      </c>
      <c r="D190" s="59">
        <v>3</v>
      </c>
      <c r="E190" s="5" t="s">
        <v>146</v>
      </c>
    </row>
    <row r="191" spans="1:7" x14ac:dyDescent="0.3">
      <c r="A191" s="20" t="s">
        <v>243</v>
      </c>
      <c r="B191" s="43" t="s">
        <v>356</v>
      </c>
      <c r="C191" s="35" t="s">
        <v>357</v>
      </c>
      <c r="D191" s="43">
        <v>2</v>
      </c>
      <c r="E191" s="5"/>
      <c r="G191" s="54" t="s">
        <v>668</v>
      </c>
    </row>
    <row r="192" spans="1:7" x14ac:dyDescent="0.3">
      <c r="A192" s="20" t="s">
        <v>243</v>
      </c>
      <c r="B192" s="43" t="s">
        <v>585</v>
      </c>
      <c r="C192" s="44" t="s">
        <v>586</v>
      </c>
      <c r="D192" s="43">
        <v>3</v>
      </c>
      <c r="E192" s="5" t="s">
        <v>136</v>
      </c>
    </row>
    <row r="193" spans="1:7" x14ac:dyDescent="0.3">
      <c r="A193" s="20" t="s">
        <v>243</v>
      </c>
      <c r="B193" s="43" t="s">
        <v>760</v>
      </c>
      <c r="C193" s="44" t="s">
        <v>761</v>
      </c>
      <c r="D193" s="43" t="s">
        <v>873</v>
      </c>
      <c r="E193" s="5" t="s">
        <v>125</v>
      </c>
      <c r="F193" t="s">
        <v>914</v>
      </c>
      <c r="G193" t="s">
        <v>874</v>
      </c>
    </row>
    <row r="194" spans="1:7" x14ac:dyDescent="0.3">
      <c r="A194" s="20" t="s">
        <v>243</v>
      </c>
      <c r="B194" s="43" t="s">
        <v>760</v>
      </c>
      <c r="C194" s="44" t="s">
        <v>761</v>
      </c>
      <c r="D194" s="43" t="s">
        <v>873</v>
      </c>
      <c r="E194" s="5" t="s">
        <v>136</v>
      </c>
      <c r="F194" t="s">
        <v>914</v>
      </c>
      <c r="G194" t="s">
        <v>874</v>
      </c>
    </row>
    <row r="195" spans="1:7" x14ac:dyDescent="0.3">
      <c r="A195" s="20" t="s">
        <v>243</v>
      </c>
      <c r="B195" s="43" t="s">
        <v>762</v>
      </c>
      <c r="C195" s="44" t="s">
        <v>535</v>
      </c>
      <c r="D195" s="43">
        <v>2</v>
      </c>
      <c r="E195" s="5" t="s">
        <v>134</v>
      </c>
      <c r="G195" t="s">
        <v>875</v>
      </c>
    </row>
    <row r="196" spans="1:7" x14ac:dyDescent="0.3">
      <c r="A196" s="20" t="s">
        <v>243</v>
      </c>
      <c r="B196" s="43" t="s">
        <v>571</v>
      </c>
      <c r="C196" s="44" t="s">
        <v>536</v>
      </c>
      <c r="D196" s="43">
        <v>3</v>
      </c>
      <c r="E196" s="5" t="s">
        <v>131</v>
      </c>
    </row>
    <row r="197" spans="1:7" x14ac:dyDescent="0.3">
      <c r="A197" s="20" t="s">
        <v>243</v>
      </c>
      <c r="B197" s="43" t="s">
        <v>763</v>
      </c>
      <c r="C197" s="44" t="s">
        <v>567</v>
      </c>
      <c r="D197" s="43">
        <v>3</v>
      </c>
      <c r="E197" s="5" t="s">
        <v>41</v>
      </c>
      <c r="G197" t="s">
        <v>876</v>
      </c>
    </row>
    <row r="198" spans="1:7" x14ac:dyDescent="0.3">
      <c r="A198" s="20" t="s">
        <v>243</v>
      </c>
      <c r="B198" s="43" t="s">
        <v>764</v>
      </c>
      <c r="C198" s="44" t="s">
        <v>458</v>
      </c>
      <c r="D198" s="43">
        <v>3</v>
      </c>
      <c r="E198" s="5" t="s">
        <v>189</v>
      </c>
      <c r="G198" t="s">
        <v>877</v>
      </c>
    </row>
    <row r="199" spans="1:7" x14ac:dyDescent="0.3">
      <c r="A199" s="51" t="s">
        <v>245</v>
      </c>
      <c r="B199" s="43" t="s">
        <v>352</v>
      </c>
      <c r="C199" s="55" t="s">
        <v>868</v>
      </c>
      <c r="D199" s="43">
        <v>2</v>
      </c>
      <c r="E199" s="5"/>
      <c r="G199" t="s">
        <v>878</v>
      </c>
    </row>
    <row r="200" spans="1:7" x14ac:dyDescent="0.3">
      <c r="A200" s="51" t="s">
        <v>245</v>
      </c>
      <c r="B200" s="43" t="s">
        <v>765</v>
      </c>
      <c r="C200" s="44" t="s">
        <v>573</v>
      </c>
      <c r="D200" s="43">
        <v>2</v>
      </c>
      <c r="E200" s="5" t="s">
        <v>115</v>
      </c>
    </row>
    <row r="201" spans="1:7" x14ac:dyDescent="0.3">
      <c r="A201" s="51" t="s">
        <v>245</v>
      </c>
      <c r="B201" s="43" t="s">
        <v>766</v>
      </c>
      <c r="C201" s="44" t="s">
        <v>767</v>
      </c>
      <c r="D201" s="43">
        <v>3</v>
      </c>
      <c r="E201" s="5" t="s">
        <v>166</v>
      </c>
    </row>
    <row r="202" spans="1:7" x14ac:dyDescent="0.3">
      <c r="A202" s="51" t="s">
        <v>245</v>
      </c>
      <c r="B202" s="43" t="s">
        <v>768</v>
      </c>
      <c r="C202" s="44" t="s">
        <v>769</v>
      </c>
      <c r="D202" s="43">
        <v>3</v>
      </c>
      <c r="E202" s="5" t="s">
        <v>164</v>
      </c>
    </row>
    <row r="203" spans="1:7" x14ac:dyDescent="0.3">
      <c r="A203" s="51" t="s">
        <v>245</v>
      </c>
      <c r="B203" s="43" t="s">
        <v>770</v>
      </c>
      <c r="C203" s="44" t="s">
        <v>581</v>
      </c>
      <c r="D203" s="43">
        <v>3</v>
      </c>
      <c r="E203" s="5" t="s">
        <v>166</v>
      </c>
    </row>
    <row r="204" spans="1:7" x14ac:dyDescent="0.3">
      <c r="A204" s="51" t="s">
        <v>245</v>
      </c>
      <c r="B204" s="43" t="s">
        <v>595</v>
      </c>
      <c r="C204" s="44" t="s">
        <v>596</v>
      </c>
      <c r="D204" s="43" t="s">
        <v>879</v>
      </c>
      <c r="E204" s="5" t="s">
        <v>166</v>
      </c>
    </row>
    <row r="205" spans="1:7" x14ac:dyDescent="0.3">
      <c r="A205" s="51" t="s">
        <v>245</v>
      </c>
      <c r="B205" s="43" t="s">
        <v>771</v>
      </c>
      <c r="C205" s="44" t="s">
        <v>600</v>
      </c>
      <c r="D205" s="43" t="s">
        <v>879</v>
      </c>
      <c r="E205" s="5" t="s">
        <v>125</v>
      </c>
    </row>
    <row r="206" spans="1:7" x14ac:dyDescent="0.3">
      <c r="A206" s="51" t="s">
        <v>247</v>
      </c>
      <c r="B206" s="43" t="s">
        <v>527</v>
      </c>
      <c r="C206" s="44" t="s">
        <v>417</v>
      </c>
      <c r="D206" s="43">
        <v>2</v>
      </c>
      <c r="E206" s="5"/>
    </row>
    <row r="207" spans="1:7" x14ac:dyDescent="0.3">
      <c r="A207" s="51" t="s">
        <v>247</v>
      </c>
      <c r="B207" s="43" t="s">
        <v>589</v>
      </c>
      <c r="C207" s="44" t="s">
        <v>590</v>
      </c>
      <c r="D207" s="43">
        <v>4</v>
      </c>
      <c r="E207" s="5" t="s">
        <v>125</v>
      </c>
    </row>
    <row r="208" spans="1:7" x14ac:dyDescent="0.3">
      <c r="A208" s="51" t="s">
        <v>247</v>
      </c>
      <c r="B208" s="43" t="s">
        <v>577</v>
      </c>
      <c r="C208" s="44" t="s">
        <v>772</v>
      </c>
      <c r="D208" s="43">
        <v>2</v>
      </c>
      <c r="E208" s="5" t="s">
        <v>123</v>
      </c>
    </row>
    <row r="209" spans="1:7" x14ac:dyDescent="0.3">
      <c r="A209" s="51" t="s">
        <v>247</v>
      </c>
      <c r="B209" s="43" t="s">
        <v>597</v>
      </c>
      <c r="C209" s="44" t="s">
        <v>598</v>
      </c>
      <c r="D209" s="43">
        <v>3</v>
      </c>
      <c r="E209" s="5" t="s">
        <v>185</v>
      </c>
    </row>
    <row r="210" spans="1:7" x14ac:dyDescent="0.3">
      <c r="A210" s="51" t="s">
        <v>247</v>
      </c>
      <c r="B210" s="43" t="s">
        <v>583</v>
      </c>
      <c r="C210" s="44" t="s">
        <v>773</v>
      </c>
      <c r="D210" s="43">
        <v>3</v>
      </c>
      <c r="E210" s="5" t="s">
        <v>185</v>
      </c>
    </row>
    <row r="211" spans="1:7" x14ac:dyDescent="0.3">
      <c r="A211" s="51" t="s">
        <v>247</v>
      </c>
      <c r="B211" s="43" t="s">
        <v>587</v>
      </c>
      <c r="C211" s="44" t="s">
        <v>588</v>
      </c>
      <c r="D211" s="43">
        <v>3</v>
      </c>
      <c r="E211" s="5" t="s">
        <v>125</v>
      </c>
    </row>
    <row r="212" spans="1:7" x14ac:dyDescent="0.3">
      <c r="A212" s="51" t="s">
        <v>656</v>
      </c>
      <c r="B212" s="43" t="s">
        <v>774</v>
      </c>
      <c r="C212" s="44" t="s">
        <v>336</v>
      </c>
      <c r="D212" s="43">
        <v>2</v>
      </c>
      <c r="E212" s="5" t="s">
        <v>136</v>
      </c>
    </row>
    <row r="213" spans="1:7" x14ac:dyDescent="0.3">
      <c r="A213" s="51" t="s">
        <v>656</v>
      </c>
      <c r="B213" s="43" t="s">
        <v>575</v>
      </c>
      <c r="C213" s="44" t="s">
        <v>775</v>
      </c>
      <c r="D213" s="43">
        <v>3</v>
      </c>
      <c r="E213" s="5" t="s">
        <v>164</v>
      </c>
    </row>
    <row r="214" spans="1:7" x14ac:dyDescent="0.3">
      <c r="A214" s="51" t="s">
        <v>656</v>
      </c>
      <c r="B214" s="43" t="s">
        <v>591</v>
      </c>
      <c r="C214" s="44" t="s">
        <v>592</v>
      </c>
      <c r="D214" s="43" t="s">
        <v>880</v>
      </c>
      <c r="E214" s="5" t="s">
        <v>125</v>
      </c>
    </row>
    <row r="215" spans="1:7" x14ac:dyDescent="0.3">
      <c r="A215" s="51" t="s">
        <v>656</v>
      </c>
      <c r="B215" s="43" t="s">
        <v>563</v>
      </c>
      <c r="C215" s="44" t="s">
        <v>564</v>
      </c>
      <c r="D215" s="43">
        <v>5</v>
      </c>
      <c r="E215" s="5" t="s">
        <v>136</v>
      </c>
    </row>
    <row r="216" spans="1:7" x14ac:dyDescent="0.3">
      <c r="A216" s="51" t="s">
        <v>656</v>
      </c>
      <c r="B216" s="43" t="s">
        <v>579</v>
      </c>
      <c r="C216" s="44" t="s">
        <v>460</v>
      </c>
      <c r="D216" s="43">
        <v>2</v>
      </c>
      <c r="E216" s="5" t="s">
        <v>164</v>
      </c>
    </row>
    <row r="217" spans="1:7" x14ac:dyDescent="0.3">
      <c r="A217" s="20" t="s">
        <v>249</v>
      </c>
      <c r="B217" s="43" t="s">
        <v>776</v>
      </c>
      <c r="C217" s="44" t="s">
        <v>777</v>
      </c>
      <c r="D217" s="43">
        <v>3</v>
      </c>
      <c r="E217" s="5" t="s">
        <v>881</v>
      </c>
    </row>
    <row r="218" spans="1:7" x14ac:dyDescent="0.3">
      <c r="A218" s="20" t="s">
        <v>249</v>
      </c>
      <c r="B218" s="43" t="s">
        <v>778</v>
      </c>
      <c r="C218" s="44" t="s">
        <v>779</v>
      </c>
      <c r="D218" s="43">
        <v>3</v>
      </c>
      <c r="E218" s="5"/>
      <c r="G218" s="54" t="s">
        <v>668</v>
      </c>
    </row>
    <row r="219" spans="1:7" x14ac:dyDescent="0.3">
      <c r="A219" s="20" t="s">
        <v>249</v>
      </c>
      <c r="B219" s="5"/>
      <c r="C219" s="44" t="s">
        <v>780</v>
      </c>
      <c r="D219" s="43">
        <v>3</v>
      </c>
      <c r="E219" s="5" t="s">
        <v>115</v>
      </c>
    </row>
    <row r="220" spans="1:7" ht="28.8" x14ac:dyDescent="0.3">
      <c r="A220" s="51" t="s">
        <v>246</v>
      </c>
      <c r="B220" s="43" t="s">
        <v>352</v>
      </c>
      <c r="C220" s="55" t="s">
        <v>868</v>
      </c>
      <c r="D220" s="43">
        <v>2</v>
      </c>
      <c r="E220" s="5"/>
      <c r="G220" s="62" t="s">
        <v>882</v>
      </c>
    </row>
    <row r="221" spans="1:7" ht="28.8" x14ac:dyDescent="0.3">
      <c r="A221" s="51" t="s">
        <v>246</v>
      </c>
      <c r="B221" s="43" t="s">
        <v>768</v>
      </c>
      <c r="C221" s="44" t="s">
        <v>769</v>
      </c>
      <c r="D221" s="43">
        <v>3</v>
      </c>
      <c r="E221" s="5" t="s">
        <v>164</v>
      </c>
      <c r="G221" s="62" t="s">
        <v>882</v>
      </c>
    </row>
    <row r="222" spans="1:7" ht="28.8" x14ac:dyDescent="0.3">
      <c r="A222" s="51" t="s">
        <v>246</v>
      </c>
      <c r="B222" s="43" t="s">
        <v>595</v>
      </c>
      <c r="C222" s="44" t="s">
        <v>596</v>
      </c>
      <c r="D222" s="43" t="s">
        <v>879</v>
      </c>
      <c r="E222" s="5" t="s">
        <v>185</v>
      </c>
      <c r="G222" s="62" t="s">
        <v>882</v>
      </c>
    </row>
    <row r="223" spans="1:7" ht="28.8" x14ac:dyDescent="0.3">
      <c r="A223" s="51" t="s">
        <v>246</v>
      </c>
      <c r="B223" s="43" t="s">
        <v>771</v>
      </c>
      <c r="C223" s="44" t="s">
        <v>600</v>
      </c>
      <c r="D223" s="43" t="s">
        <v>879</v>
      </c>
      <c r="E223" s="5" t="s">
        <v>115</v>
      </c>
      <c r="G223" s="62" t="s">
        <v>882</v>
      </c>
    </row>
    <row r="224" spans="1:7" x14ac:dyDescent="0.3">
      <c r="A224" s="51" t="s">
        <v>248</v>
      </c>
      <c r="B224" s="43" t="s">
        <v>527</v>
      </c>
      <c r="C224" s="44" t="s">
        <v>417</v>
      </c>
      <c r="D224" s="43">
        <v>2</v>
      </c>
      <c r="E224" s="5"/>
    </row>
    <row r="225" spans="1:7" ht="28.8" x14ac:dyDescent="0.3">
      <c r="A225" s="51" t="s">
        <v>248</v>
      </c>
      <c r="B225" s="43" t="s">
        <v>589</v>
      </c>
      <c r="C225" s="44" t="s">
        <v>590</v>
      </c>
      <c r="D225" s="43">
        <v>4</v>
      </c>
      <c r="E225" s="5" t="s">
        <v>164</v>
      </c>
      <c r="G225" s="62" t="s">
        <v>883</v>
      </c>
    </row>
    <row r="226" spans="1:7" ht="28.8" x14ac:dyDescent="0.3">
      <c r="A226" s="51" t="s">
        <v>248</v>
      </c>
      <c r="B226" s="43" t="s">
        <v>577</v>
      </c>
      <c r="C226" s="44" t="s">
        <v>772</v>
      </c>
      <c r="D226" s="43">
        <v>2</v>
      </c>
      <c r="E226" s="5" t="s">
        <v>113</v>
      </c>
      <c r="G226" s="62" t="s">
        <v>883</v>
      </c>
    </row>
    <row r="227" spans="1:7" ht="28.8" x14ac:dyDescent="0.3">
      <c r="A227" s="51" t="s">
        <v>248</v>
      </c>
      <c r="B227" s="43" t="s">
        <v>597</v>
      </c>
      <c r="C227" s="44" t="s">
        <v>598</v>
      </c>
      <c r="D227" s="43">
        <v>3</v>
      </c>
      <c r="E227" s="5" t="s">
        <v>115</v>
      </c>
      <c r="G227" s="62" t="s">
        <v>883</v>
      </c>
    </row>
    <row r="228" spans="1:7" ht="28.8" x14ac:dyDescent="0.3">
      <c r="A228" s="51" t="s">
        <v>248</v>
      </c>
      <c r="B228" s="43" t="s">
        <v>583</v>
      </c>
      <c r="C228" s="44" t="s">
        <v>773</v>
      </c>
      <c r="D228" s="43">
        <v>3</v>
      </c>
      <c r="E228" s="5" t="s">
        <v>185</v>
      </c>
      <c r="G228" s="62" t="s">
        <v>883</v>
      </c>
    </row>
    <row r="229" spans="1:7" ht="28.8" x14ac:dyDescent="0.3">
      <c r="A229" s="51" t="s">
        <v>248</v>
      </c>
      <c r="B229" s="43" t="s">
        <v>587</v>
      </c>
      <c r="C229" s="44" t="s">
        <v>588</v>
      </c>
      <c r="D229" s="43">
        <v>3</v>
      </c>
      <c r="E229" s="5" t="s">
        <v>115</v>
      </c>
      <c r="G229" s="62" t="s">
        <v>883</v>
      </c>
    </row>
    <row r="230" spans="1:7" ht="28.8" x14ac:dyDescent="0.3">
      <c r="A230" s="51" t="s">
        <v>657</v>
      </c>
      <c r="B230" s="43" t="s">
        <v>774</v>
      </c>
      <c r="C230" s="44" t="s">
        <v>336</v>
      </c>
      <c r="D230" s="43">
        <v>2</v>
      </c>
      <c r="E230" s="5" t="s">
        <v>136</v>
      </c>
      <c r="G230" s="62" t="s">
        <v>884</v>
      </c>
    </row>
    <row r="231" spans="1:7" ht="28.8" x14ac:dyDescent="0.3">
      <c r="A231" s="51" t="s">
        <v>656</v>
      </c>
      <c r="B231" s="43" t="s">
        <v>591</v>
      </c>
      <c r="C231" s="44" t="s">
        <v>592</v>
      </c>
      <c r="D231" s="43" t="s">
        <v>880</v>
      </c>
      <c r="E231" s="5" t="s">
        <v>136</v>
      </c>
      <c r="G231" s="62" t="s">
        <v>884</v>
      </c>
    </row>
    <row r="232" spans="1:7" x14ac:dyDescent="0.3">
      <c r="A232" s="51" t="s">
        <v>236</v>
      </c>
      <c r="B232" s="63" t="s">
        <v>308</v>
      </c>
      <c r="C232" s="35" t="s">
        <v>697</v>
      </c>
      <c r="D232" s="63">
        <v>2</v>
      </c>
      <c r="E232" s="64" t="s">
        <v>668</v>
      </c>
    </row>
    <row r="233" spans="1:7" x14ac:dyDescent="0.3">
      <c r="A233" s="51" t="s">
        <v>236</v>
      </c>
      <c r="B233" s="63" t="s">
        <v>454</v>
      </c>
      <c r="C233" s="65" t="s">
        <v>536</v>
      </c>
      <c r="D233" s="63">
        <v>3</v>
      </c>
      <c r="E233" s="64" t="s">
        <v>189</v>
      </c>
      <c r="G233" t="s">
        <v>131</v>
      </c>
    </row>
    <row r="234" spans="1:7" x14ac:dyDescent="0.3">
      <c r="A234" s="51" t="s">
        <v>236</v>
      </c>
      <c r="B234" s="63" t="s">
        <v>453</v>
      </c>
      <c r="C234" s="65" t="s">
        <v>781</v>
      </c>
      <c r="D234" s="63">
        <v>3</v>
      </c>
      <c r="E234" s="64" t="s">
        <v>41</v>
      </c>
    </row>
    <row r="235" spans="1:7" x14ac:dyDescent="0.3">
      <c r="A235" s="51" t="s">
        <v>236</v>
      </c>
      <c r="B235" s="63" t="s">
        <v>352</v>
      </c>
      <c r="C235" s="55" t="s">
        <v>868</v>
      </c>
      <c r="D235" s="63">
        <v>2</v>
      </c>
      <c r="E235" s="64" t="s">
        <v>54</v>
      </c>
    </row>
    <row r="236" spans="1:7" x14ac:dyDescent="0.3">
      <c r="A236" s="51" t="s">
        <v>236</v>
      </c>
      <c r="B236" s="63" t="s">
        <v>534</v>
      </c>
      <c r="C236" s="65" t="s">
        <v>535</v>
      </c>
      <c r="D236" s="63">
        <v>2</v>
      </c>
      <c r="E236" s="64" t="s">
        <v>20</v>
      </c>
    </row>
    <row r="237" spans="1:7" x14ac:dyDescent="0.3">
      <c r="A237" s="51" t="s">
        <v>236</v>
      </c>
      <c r="B237" s="63" t="s">
        <v>547</v>
      </c>
      <c r="C237" s="65" t="s">
        <v>548</v>
      </c>
      <c r="D237" s="63">
        <v>3</v>
      </c>
      <c r="E237" s="64" t="s">
        <v>138</v>
      </c>
    </row>
    <row r="238" spans="1:7" x14ac:dyDescent="0.3">
      <c r="A238" s="51" t="s">
        <v>236</v>
      </c>
      <c r="B238" s="63" t="s">
        <v>457</v>
      </c>
      <c r="C238" s="65" t="s">
        <v>782</v>
      </c>
      <c r="D238" s="63">
        <v>3</v>
      </c>
      <c r="E238" s="64" t="s">
        <v>189</v>
      </c>
    </row>
    <row r="239" spans="1:7" x14ac:dyDescent="0.3">
      <c r="A239" s="51" t="s">
        <v>238</v>
      </c>
      <c r="B239" s="63" t="s">
        <v>543</v>
      </c>
      <c r="C239" s="65" t="s">
        <v>544</v>
      </c>
      <c r="D239" s="63">
        <v>3</v>
      </c>
      <c r="E239" s="64" t="s">
        <v>189</v>
      </c>
    </row>
    <row r="240" spans="1:7" x14ac:dyDescent="0.3">
      <c r="A240" s="51" t="s">
        <v>238</v>
      </c>
      <c r="B240" s="63" t="s">
        <v>538</v>
      </c>
      <c r="C240" s="65" t="s">
        <v>783</v>
      </c>
      <c r="D240" s="63">
        <v>3</v>
      </c>
      <c r="E240" s="64" t="s">
        <v>41</v>
      </c>
    </row>
    <row r="241" spans="1:7" x14ac:dyDescent="0.3">
      <c r="A241" s="51" t="s">
        <v>238</v>
      </c>
      <c r="B241" s="63" t="s">
        <v>551</v>
      </c>
      <c r="C241" s="65" t="s">
        <v>552</v>
      </c>
      <c r="D241" s="63">
        <v>3</v>
      </c>
      <c r="E241" s="64" t="s">
        <v>38</v>
      </c>
    </row>
    <row r="242" spans="1:7" x14ac:dyDescent="0.3">
      <c r="A242" s="51" t="s">
        <v>238</v>
      </c>
      <c r="B242" s="63" t="s">
        <v>559</v>
      </c>
      <c r="C242" s="65" t="s">
        <v>560</v>
      </c>
      <c r="D242" s="63">
        <v>3</v>
      </c>
      <c r="E242" s="64" t="s">
        <v>121</v>
      </c>
    </row>
    <row r="243" spans="1:7" x14ac:dyDescent="0.3">
      <c r="A243" s="51" t="s">
        <v>238</v>
      </c>
      <c r="B243" s="63" t="s">
        <v>528</v>
      </c>
      <c r="C243" s="65" t="s">
        <v>529</v>
      </c>
      <c r="D243" s="63">
        <v>3</v>
      </c>
      <c r="E243" s="64" t="s">
        <v>189</v>
      </c>
    </row>
    <row r="244" spans="1:7" x14ac:dyDescent="0.3">
      <c r="A244" s="51" t="s">
        <v>238</v>
      </c>
      <c r="B244" s="63" t="s">
        <v>539</v>
      </c>
      <c r="C244" s="65" t="s">
        <v>784</v>
      </c>
      <c r="D244" s="63">
        <v>3</v>
      </c>
      <c r="E244" s="64" t="s">
        <v>885</v>
      </c>
    </row>
    <row r="245" spans="1:7" x14ac:dyDescent="0.3">
      <c r="A245" s="51" t="s">
        <v>240</v>
      </c>
      <c r="B245" s="63" t="s">
        <v>537</v>
      </c>
      <c r="C245" s="65" t="s">
        <v>329</v>
      </c>
      <c r="D245" s="63">
        <v>3</v>
      </c>
      <c r="E245" s="64" t="s">
        <v>20</v>
      </c>
    </row>
    <row r="246" spans="1:7" x14ac:dyDescent="0.3">
      <c r="A246" s="51" t="s">
        <v>240</v>
      </c>
      <c r="B246" s="63" t="s">
        <v>540</v>
      </c>
      <c r="C246" s="65" t="s">
        <v>785</v>
      </c>
      <c r="D246" s="63">
        <v>3</v>
      </c>
      <c r="E246" s="64" t="s">
        <v>38</v>
      </c>
    </row>
    <row r="247" spans="1:7" x14ac:dyDescent="0.3">
      <c r="A247" s="51" t="s">
        <v>240</v>
      </c>
      <c r="B247" s="63" t="s">
        <v>545</v>
      </c>
      <c r="C247" s="65" t="s">
        <v>546</v>
      </c>
      <c r="D247" s="63">
        <v>3</v>
      </c>
      <c r="E247" s="64" t="s">
        <v>138</v>
      </c>
    </row>
    <row r="248" spans="1:7" x14ac:dyDescent="0.3">
      <c r="A248" s="51" t="s">
        <v>240</v>
      </c>
      <c r="B248" s="63" t="s">
        <v>450</v>
      </c>
      <c r="C248" s="65" t="s">
        <v>451</v>
      </c>
      <c r="D248" s="63">
        <v>3</v>
      </c>
      <c r="E248" s="64" t="s">
        <v>138</v>
      </c>
    </row>
    <row r="249" spans="1:7" x14ac:dyDescent="0.3">
      <c r="A249" s="51" t="s">
        <v>240</v>
      </c>
      <c r="B249" s="63" t="s">
        <v>555</v>
      </c>
      <c r="C249" s="65" t="s">
        <v>556</v>
      </c>
      <c r="D249" s="63">
        <v>2</v>
      </c>
      <c r="E249" s="64" t="s">
        <v>885</v>
      </c>
    </row>
    <row r="250" spans="1:7" x14ac:dyDescent="0.3">
      <c r="A250" s="51" t="s">
        <v>240</v>
      </c>
      <c r="B250" s="63" t="s">
        <v>557</v>
      </c>
      <c r="C250" s="65" t="s">
        <v>558</v>
      </c>
      <c r="D250" s="63">
        <v>3</v>
      </c>
      <c r="E250" s="64" t="s">
        <v>121</v>
      </c>
    </row>
    <row r="251" spans="1:7" x14ac:dyDescent="0.3">
      <c r="A251" s="51" t="s">
        <v>240</v>
      </c>
      <c r="B251" s="63" t="s">
        <v>541</v>
      </c>
      <c r="C251" s="65" t="s">
        <v>542</v>
      </c>
      <c r="D251" s="63">
        <v>2</v>
      </c>
      <c r="E251" s="64" t="s">
        <v>189</v>
      </c>
    </row>
    <row r="252" spans="1:7" x14ac:dyDescent="0.3">
      <c r="A252" s="51" t="s">
        <v>241</v>
      </c>
      <c r="B252" s="63" t="s">
        <v>537</v>
      </c>
      <c r="C252" s="65" t="s">
        <v>329</v>
      </c>
      <c r="D252" s="63">
        <v>3</v>
      </c>
      <c r="E252" s="64" t="s">
        <v>148</v>
      </c>
    </row>
    <row r="253" spans="1:7" x14ac:dyDescent="0.3">
      <c r="A253" s="51" t="s">
        <v>241</v>
      </c>
      <c r="B253" s="63" t="s">
        <v>540</v>
      </c>
      <c r="C253" s="65" t="s">
        <v>785</v>
      </c>
      <c r="D253" s="63">
        <v>3</v>
      </c>
      <c r="E253" s="64" t="s">
        <v>20</v>
      </c>
    </row>
    <row r="254" spans="1:7" x14ac:dyDescent="0.3">
      <c r="A254" s="51" t="s">
        <v>241</v>
      </c>
      <c r="B254" s="63" t="s">
        <v>545</v>
      </c>
      <c r="C254" s="65" t="s">
        <v>546</v>
      </c>
      <c r="D254" s="63">
        <v>3</v>
      </c>
      <c r="E254" s="64" t="s">
        <v>886</v>
      </c>
    </row>
    <row r="255" spans="1:7" x14ac:dyDescent="0.3">
      <c r="A255" s="51" t="s">
        <v>241</v>
      </c>
      <c r="B255" s="63" t="s">
        <v>450</v>
      </c>
      <c r="C255" s="65" t="s">
        <v>451</v>
      </c>
      <c r="D255" s="63">
        <v>3</v>
      </c>
      <c r="E255" s="64" t="s">
        <v>121</v>
      </c>
    </row>
    <row r="256" spans="1:7" x14ac:dyDescent="0.3">
      <c r="A256" s="51" t="s">
        <v>241</v>
      </c>
      <c r="B256" s="63" t="s">
        <v>557</v>
      </c>
      <c r="C256" s="65" t="s">
        <v>558</v>
      </c>
      <c r="D256" s="63">
        <v>3</v>
      </c>
      <c r="E256" s="5" t="s">
        <v>886</v>
      </c>
      <c r="G256" s="66" t="s">
        <v>886</v>
      </c>
    </row>
    <row r="257" spans="1:7" x14ac:dyDescent="0.3">
      <c r="A257" s="51" t="s">
        <v>241</v>
      </c>
      <c r="B257" s="63" t="s">
        <v>541</v>
      </c>
      <c r="C257" s="65" t="s">
        <v>542</v>
      </c>
      <c r="D257" s="63">
        <v>2</v>
      </c>
      <c r="E257" s="64" t="s">
        <v>38</v>
      </c>
    </row>
    <row r="258" spans="1:7" x14ac:dyDescent="0.3">
      <c r="A258" s="51" t="s">
        <v>654</v>
      </c>
      <c r="B258" s="63" t="s">
        <v>527</v>
      </c>
      <c r="C258" s="65" t="s">
        <v>417</v>
      </c>
      <c r="D258" s="63">
        <v>2</v>
      </c>
      <c r="E258" s="5"/>
      <c r="G258" s="66" t="s">
        <v>668</v>
      </c>
    </row>
    <row r="259" spans="1:7" x14ac:dyDescent="0.3">
      <c r="A259" s="51" t="s">
        <v>654</v>
      </c>
      <c r="B259" s="63" t="s">
        <v>532</v>
      </c>
      <c r="C259" s="65" t="s">
        <v>533</v>
      </c>
      <c r="D259" s="63">
        <v>3</v>
      </c>
      <c r="E259" s="64" t="s">
        <v>38</v>
      </c>
    </row>
    <row r="260" spans="1:7" x14ac:dyDescent="0.3">
      <c r="A260" s="51" t="s">
        <v>654</v>
      </c>
      <c r="B260" s="63" t="s">
        <v>549</v>
      </c>
      <c r="C260" s="65" t="s">
        <v>887</v>
      </c>
      <c r="D260" s="63">
        <v>3</v>
      </c>
      <c r="E260" s="64" t="s">
        <v>41</v>
      </c>
    </row>
    <row r="261" spans="1:7" x14ac:dyDescent="0.3">
      <c r="A261" s="51" t="s">
        <v>654</v>
      </c>
      <c r="B261" s="63" t="s">
        <v>550</v>
      </c>
      <c r="C261" s="65" t="s">
        <v>786</v>
      </c>
      <c r="D261" s="63">
        <v>3</v>
      </c>
      <c r="E261" s="64" t="s">
        <v>54</v>
      </c>
    </row>
    <row r="262" spans="1:7" x14ac:dyDescent="0.3">
      <c r="A262" s="51" t="s">
        <v>654</v>
      </c>
      <c r="B262" s="63" t="s">
        <v>530</v>
      </c>
      <c r="C262" s="65" t="s">
        <v>531</v>
      </c>
      <c r="D262" s="63">
        <v>2</v>
      </c>
      <c r="E262" s="64" t="s">
        <v>41</v>
      </c>
    </row>
    <row r="263" spans="1:7" x14ac:dyDescent="0.3">
      <c r="A263" s="51" t="s">
        <v>654</v>
      </c>
      <c r="B263" s="63" t="s">
        <v>553</v>
      </c>
      <c r="C263" s="65" t="s">
        <v>554</v>
      </c>
      <c r="D263" s="63">
        <v>2</v>
      </c>
      <c r="E263" s="64" t="s">
        <v>20</v>
      </c>
    </row>
    <row r="264" spans="1:7" x14ac:dyDescent="0.3">
      <c r="A264" s="51" t="s">
        <v>654</v>
      </c>
      <c r="B264" s="63" t="s">
        <v>561</v>
      </c>
      <c r="C264" s="65" t="s">
        <v>562</v>
      </c>
      <c r="D264" s="63">
        <v>4</v>
      </c>
      <c r="E264" s="64" t="s">
        <v>121</v>
      </c>
    </row>
    <row r="265" spans="1:7" x14ac:dyDescent="0.3">
      <c r="A265" s="5" t="s">
        <v>655</v>
      </c>
      <c r="B265" s="63" t="s">
        <v>527</v>
      </c>
      <c r="C265" s="65" t="s">
        <v>417</v>
      </c>
      <c r="D265" s="63">
        <v>2</v>
      </c>
      <c r="E265" s="5"/>
      <c r="G265" s="66" t="s">
        <v>668</v>
      </c>
    </row>
    <row r="266" spans="1:7" x14ac:dyDescent="0.3">
      <c r="A266" s="5" t="s">
        <v>655</v>
      </c>
      <c r="B266" s="63" t="s">
        <v>561</v>
      </c>
      <c r="C266" s="65" t="s">
        <v>562</v>
      </c>
      <c r="D266" s="63">
        <v>4</v>
      </c>
      <c r="E266" s="64" t="s">
        <v>138</v>
      </c>
    </row>
    <row r="267" spans="1:7" x14ac:dyDescent="0.3">
      <c r="A267" s="67" t="s">
        <v>252</v>
      </c>
      <c r="B267" s="45" t="s">
        <v>322</v>
      </c>
      <c r="C267" s="5" t="s">
        <v>323</v>
      </c>
      <c r="D267" s="2">
        <v>2</v>
      </c>
      <c r="E267" s="5"/>
    </row>
    <row r="268" spans="1:7" x14ac:dyDescent="0.3">
      <c r="A268" s="67" t="s">
        <v>252</v>
      </c>
      <c r="B268" s="46" t="s">
        <v>453</v>
      </c>
      <c r="C268" s="5" t="s">
        <v>606</v>
      </c>
      <c r="D268" s="2">
        <v>3</v>
      </c>
      <c r="E268" s="5" t="s">
        <v>34</v>
      </c>
    </row>
    <row r="269" spans="1:7" x14ac:dyDescent="0.3">
      <c r="A269" s="67" t="s">
        <v>252</v>
      </c>
      <c r="B269" s="47" t="s">
        <v>454</v>
      </c>
      <c r="C269" s="5" t="s">
        <v>455</v>
      </c>
      <c r="D269" s="2">
        <v>3</v>
      </c>
      <c r="E269" s="5" t="s">
        <v>166</v>
      </c>
      <c r="G269" t="s">
        <v>889</v>
      </c>
    </row>
    <row r="270" spans="1:7" x14ac:dyDescent="0.3">
      <c r="A270" s="67" t="s">
        <v>252</v>
      </c>
      <c r="B270" s="2" t="s">
        <v>620</v>
      </c>
      <c r="C270" s="5" t="s">
        <v>621</v>
      </c>
      <c r="D270" s="2">
        <v>2</v>
      </c>
      <c r="E270" s="5" t="s">
        <v>40</v>
      </c>
    </row>
    <row r="271" spans="1:7" x14ac:dyDescent="0.3">
      <c r="A271" s="67" t="s">
        <v>252</v>
      </c>
      <c r="B271" s="2" t="s">
        <v>607</v>
      </c>
      <c r="C271" s="5" t="s">
        <v>458</v>
      </c>
      <c r="D271" s="2">
        <v>3</v>
      </c>
      <c r="E271" s="5" t="s">
        <v>195</v>
      </c>
    </row>
    <row r="272" spans="1:7" x14ac:dyDescent="0.3">
      <c r="A272" s="67" t="s">
        <v>252</v>
      </c>
      <c r="B272" s="2" t="s">
        <v>618</v>
      </c>
      <c r="C272" s="5" t="s">
        <v>619</v>
      </c>
      <c r="D272" s="2">
        <v>3</v>
      </c>
      <c r="E272" s="5" t="s">
        <v>2</v>
      </c>
    </row>
    <row r="273" spans="1:7" x14ac:dyDescent="0.3">
      <c r="A273" s="67" t="s">
        <v>252</v>
      </c>
      <c r="B273" s="2" t="s">
        <v>608</v>
      </c>
      <c r="C273" s="5" t="s">
        <v>504</v>
      </c>
      <c r="D273" s="2">
        <v>2</v>
      </c>
      <c r="E273" s="5" t="s">
        <v>187</v>
      </c>
      <c r="F273" t="s">
        <v>914</v>
      </c>
      <c r="G273" t="s">
        <v>890</v>
      </c>
    </row>
    <row r="274" spans="1:7" ht="15.75" customHeight="1" x14ac:dyDescent="0.3">
      <c r="A274" s="67" t="s">
        <v>251</v>
      </c>
      <c r="B274" s="46" t="s">
        <v>352</v>
      </c>
      <c r="C274" s="55" t="s">
        <v>868</v>
      </c>
      <c r="D274" s="2">
        <v>2</v>
      </c>
      <c r="E274" s="5" t="s">
        <v>50</v>
      </c>
    </row>
    <row r="275" spans="1:7" x14ac:dyDescent="0.3">
      <c r="A275" s="67" t="s">
        <v>251</v>
      </c>
      <c r="B275" s="2" t="s">
        <v>787</v>
      </c>
      <c r="C275" s="5" t="s">
        <v>631</v>
      </c>
      <c r="D275" s="2">
        <v>3</v>
      </c>
      <c r="E275" s="5" t="s">
        <v>142</v>
      </c>
    </row>
    <row r="276" spans="1:7" x14ac:dyDescent="0.3">
      <c r="A276" s="67" t="s">
        <v>251</v>
      </c>
      <c r="B276" s="2" t="s">
        <v>788</v>
      </c>
      <c r="C276" s="5" t="s">
        <v>644</v>
      </c>
      <c r="D276" s="2">
        <v>3</v>
      </c>
      <c r="E276" s="5" t="s">
        <v>142</v>
      </c>
    </row>
    <row r="277" spans="1:7" x14ac:dyDescent="0.3">
      <c r="A277" s="67" t="s">
        <v>251</v>
      </c>
      <c r="B277" s="2" t="s">
        <v>789</v>
      </c>
      <c r="C277" s="5" t="s">
        <v>790</v>
      </c>
      <c r="D277" s="2">
        <v>3</v>
      </c>
      <c r="E277" s="5" t="s">
        <v>2</v>
      </c>
    </row>
    <row r="278" spans="1:7" x14ac:dyDescent="0.3">
      <c r="A278" s="67" t="s">
        <v>251</v>
      </c>
      <c r="B278" s="2" t="s">
        <v>791</v>
      </c>
      <c r="C278" s="5" t="s">
        <v>623</v>
      </c>
      <c r="D278" s="2">
        <v>4</v>
      </c>
      <c r="E278" s="5" t="s">
        <v>2</v>
      </c>
    </row>
    <row r="279" spans="1:7" x14ac:dyDescent="0.3">
      <c r="A279" s="67" t="s">
        <v>251</v>
      </c>
      <c r="B279" s="2" t="s">
        <v>792</v>
      </c>
      <c r="C279" s="5" t="s">
        <v>633</v>
      </c>
      <c r="D279" s="2">
        <v>3</v>
      </c>
      <c r="E279" s="5" t="s">
        <v>195</v>
      </c>
    </row>
    <row r="280" spans="1:7" x14ac:dyDescent="0.3">
      <c r="A280" s="67" t="s">
        <v>250</v>
      </c>
      <c r="B280" s="2" t="s">
        <v>328</v>
      </c>
      <c r="C280" s="5" t="s">
        <v>329</v>
      </c>
      <c r="D280" s="2">
        <v>3</v>
      </c>
      <c r="E280" s="5" t="s">
        <v>20</v>
      </c>
    </row>
    <row r="281" spans="1:7" x14ac:dyDescent="0.3">
      <c r="A281" s="67" t="s">
        <v>250</v>
      </c>
      <c r="B281" s="2" t="s">
        <v>793</v>
      </c>
      <c r="C281" s="5" t="s">
        <v>794</v>
      </c>
      <c r="D281" s="2">
        <v>3</v>
      </c>
      <c r="E281" s="5" t="s">
        <v>50</v>
      </c>
    </row>
    <row r="282" spans="1:7" x14ac:dyDescent="0.3">
      <c r="A282" s="67" t="s">
        <v>250</v>
      </c>
      <c r="B282" s="2" t="s">
        <v>795</v>
      </c>
      <c r="C282" s="5" t="s">
        <v>796</v>
      </c>
      <c r="D282" s="2">
        <v>3</v>
      </c>
      <c r="E282" s="5" t="s">
        <v>142</v>
      </c>
    </row>
    <row r="283" spans="1:7" x14ac:dyDescent="0.3">
      <c r="A283" s="67" t="s">
        <v>250</v>
      </c>
      <c r="B283" s="2" t="s">
        <v>797</v>
      </c>
      <c r="C283" s="5" t="s">
        <v>798</v>
      </c>
      <c r="D283" s="2">
        <v>3</v>
      </c>
      <c r="E283" s="5" t="s">
        <v>50</v>
      </c>
    </row>
    <row r="284" spans="1:7" x14ac:dyDescent="0.3">
      <c r="A284" s="67" t="s">
        <v>250</v>
      </c>
      <c r="B284" s="2" t="s">
        <v>799</v>
      </c>
      <c r="C284" s="5" t="s">
        <v>612</v>
      </c>
      <c r="D284" s="2">
        <v>3</v>
      </c>
      <c r="E284" s="5" t="s">
        <v>195</v>
      </c>
    </row>
    <row r="285" spans="1:7" x14ac:dyDescent="0.3">
      <c r="A285" s="67" t="s">
        <v>250</v>
      </c>
      <c r="B285" s="2" t="s">
        <v>800</v>
      </c>
      <c r="C285" s="5" t="s">
        <v>451</v>
      </c>
      <c r="D285" s="2">
        <v>3</v>
      </c>
      <c r="E285" s="5" t="s">
        <v>142</v>
      </c>
    </row>
    <row r="286" spans="1:7" x14ac:dyDescent="0.3">
      <c r="A286" s="67" t="s">
        <v>658</v>
      </c>
      <c r="B286" s="48" t="s">
        <v>801</v>
      </c>
      <c r="C286" s="5" t="s">
        <v>610</v>
      </c>
      <c r="D286" s="2">
        <v>2</v>
      </c>
      <c r="E286" s="5"/>
    </row>
    <row r="287" spans="1:7" x14ac:dyDescent="0.3">
      <c r="A287" s="67" t="s">
        <v>658</v>
      </c>
      <c r="B287" s="46" t="s">
        <v>527</v>
      </c>
      <c r="C287" s="5" t="s">
        <v>417</v>
      </c>
      <c r="D287" s="2">
        <v>2</v>
      </c>
      <c r="E287" s="5"/>
    </row>
    <row r="288" spans="1:7" x14ac:dyDescent="0.3">
      <c r="A288" s="67" t="s">
        <v>658</v>
      </c>
      <c r="B288" s="2" t="s">
        <v>802</v>
      </c>
      <c r="C288" s="5" t="s">
        <v>604</v>
      </c>
      <c r="D288" s="2">
        <v>3</v>
      </c>
      <c r="E288" s="5" t="s">
        <v>142</v>
      </c>
    </row>
    <row r="289" spans="1:7" x14ac:dyDescent="0.3">
      <c r="A289" s="67" t="s">
        <v>658</v>
      </c>
      <c r="B289" s="2" t="s">
        <v>803</v>
      </c>
      <c r="C289" s="5" t="s">
        <v>625</v>
      </c>
      <c r="D289" s="2">
        <v>3</v>
      </c>
      <c r="E289" s="5" t="s">
        <v>2</v>
      </c>
    </row>
    <row r="290" spans="1:7" x14ac:dyDescent="0.3">
      <c r="A290" s="67" t="s">
        <v>658</v>
      </c>
      <c r="B290" s="2" t="s">
        <v>804</v>
      </c>
      <c r="C290" s="5" t="s">
        <v>409</v>
      </c>
      <c r="D290" s="2">
        <v>2</v>
      </c>
      <c r="E290" s="5" t="s">
        <v>2</v>
      </c>
    </row>
    <row r="291" spans="1:7" x14ac:dyDescent="0.3">
      <c r="A291" s="67" t="s">
        <v>253</v>
      </c>
      <c r="B291" s="2" t="s">
        <v>805</v>
      </c>
      <c r="C291" s="5" t="s">
        <v>806</v>
      </c>
      <c r="D291" s="2">
        <v>3</v>
      </c>
      <c r="E291" s="5" t="s">
        <v>689</v>
      </c>
    </row>
    <row r="292" spans="1:7" x14ac:dyDescent="0.3">
      <c r="A292" s="67" t="s">
        <v>253</v>
      </c>
      <c r="B292" s="2" t="s">
        <v>807</v>
      </c>
      <c r="C292" s="5" t="s">
        <v>808</v>
      </c>
      <c r="D292" s="2">
        <v>3</v>
      </c>
      <c r="E292" s="5" t="s">
        <v>689</v>
      </c>
    </row>
    <row r="293" spans="1:7" x14ac:dyDescent="0.3">
      <c r="A293" s="67" t="s">
        <v>253</v>
      </c>
      <c r="B293" s="2" t="s">
        <v>807</v>
      </c>
      <c r="C293" s="5" t="s">
        <v>809</v>
      </c>
      <c r="D293" s="2">
        <v>3</v>
      </c>
      <c r="E293" s="5" t="s">
        <v>689</v>
      </c>
    </row>
    <row r="294" spans="1:7" x14ac:dyDescent="0.3">
      <c r="A294" s="20" t="s">
        <v>210</v>
      </c>
      <c r="B294" s="2" t="s">
        <v>308</v>
      </c>
      <c r="C294" s="35" t="s">
        <v>697</v>
      </c>
      <c r="D294" s="2">
        <v>2</v>
      </c>
      <c r="E294" s="5"/>
      <c r="G294" s="54" t="s">
        <v>74</v>
      </c>
    </row>
    <row r="295" spans="1:7" x14ac:dyDescent="0.3">
      <c r="A295" s="20" t="s">
        <v>210</v>
      </c>
      <c r="B295" s="2" t="s">
        <v>503</v>
      </c>
      <c r="C295" s="5" t="s">
        <v>504</v>
      </c>
      <c r="D295" s="2">
        <v>3</v>
      </c>
      <c r="E295" s="5" t="s">
        <v>111</v>
      </c>
      <c r="F295" t="s">
        <v>914</v>
      </c>
      <c r="G295" s="68" t="s">
        <v>892</v>
      </c>
    </row>
    <row r="296" spans="1:7" x14ac:dyDescent="0.3">
      <c r="A296" s="20" t="s">
        <v>210</v>
      </c>
      <c r="B296" s="2" t="s">
        <v>511</v>
      </c>
      <c r="C296" s="5" t="s">
        <v>483</v>
      </c>
      <c r="D296" s="2">
        <v>3</v>
      </c>
      <c r="E296" s="5" t="s">
        <v>131</v>
      </c>
    </row>
    <row r="297" spans="1:7" x14ac:dyDescent="0.3">
      <c r="A297" s="20" t="s">
        <v>210</v>
      </c>
      <c r="B297" s="2" t="s">
        <v>500</v>
      </c>
      <c r="C297" s="5" t="s">
        <v>455</v>
      </c>
      <c r="D297" s="2">
        <v>3</v>
      </c>
      <c r="E297" s="5" t="s">
        <v>140</v>
      </c>
    </row>
    <row r="298" spans="1:7" x14ac:dyDescent="0.3">
      <c r="A298" s="20" t="s">
        <v>210</v>
      </c>
      <c r="B298" s="2" t="s">
        <v>515</v>
      </c>
      <c r="C298" s="5" t="s">
        <v>516</v>
      </c>
      <c r="D298" s="2">
        <v>3</v>
      </c>
      <c r="E298" s="5" t="s">
        <v>32</v>
      </c>
    </row>
    <row r="299" spans="1:7" x14ac:dyDescent="0.3">
      <c r="A299" s="20" t="s">
        <v>210</v>
      </c>
      <c r="B299" s="2" t="s">
        <v>383</v>
      </c>
      <c r="C299" s="5" t="s">
        <v>384</v>
      </c>
      <c r="D299" s="2">
        <v>2</v>
      </c>
      <c r="E299" s="5" t="s">
        <v>148</v>
      </c>
    </row>
    <row r="300" spans="1:7" x14ac:dyDescent="0.3">
      <c r="A300" s="20" t="s">
        <v>210</v>
      </c>
      <c r="B300" s="2" t="s">
        <v>356</v>
      </c>
      <c r="C300" s="35" t="s">
        <v>357</v>
      </c>
      <c r="D300" s="2">
        <v>2</v>
      </c>
      <c r="E300" s="5"/>
      <c r="G300" s="54" t="s">
        <v>668</v>
      </c>
    </row>
    <row r="301" spans="1:7" x14ac:dyDescent="0.3">
      <c r="A301" s="51" t="s">
        <v>212</v>
      </c>
      <c r="B301" s="2" t="s">
        <v>513</v>
      </c>
      <c r="C301" s="5" t="s">
        <v>514</v>
      </c>
      <c r="D301" s="2">
        <v>4</v>
      </c>
      <c r="E301" s="5" t="s">
        <v>103</v>
      </c>
      <c r="F301" t="s">
        <v>914</v>
      </c>
      <c r="G301" s="68" t="s">
        <v>892</v>
      </c>
    </row>
    <row r="302" spans="1:7" x14ac:dyDescent="0.3">
      <c r="A302" s="51" t="s">
        <v>212</v>
      </c>
      <c r="B302" s="2" t="s">
        <v>512</v>
      </c>
      <c r="C302" s="5" t="s">
        <v>685</v>
      </c>
      <c r="D302" s="2">
        <v>3</v>
      </c>
      <c r="E302" s="5" t="s">
        <v>111</v>
      </c>
      <c r="F302" t="s">
        <v>914</v>
      </c>
      <c r="G302" s="68" t="s">
        <v>892</v>
      </c>
    </row>
    <row r="303" spans="1:7" x14ac:dyDescent="0.3">
      <c r="A303" s="51" t="s">
        <v>212</v>
      </c>
      <c r="B303" s="2" t="s">
        <v>523</v>
      </c>
      <c r="C303" s="5" t="s">
        <v>524</v>
      </c>
      <c r="D303" s="2">
        <v>3</v>
      </c>
      <c r="E303" s="5" t="s">
        <v>26</v>
      </c>
    </row>
    <row r="304" spans="1:7" x14ac:dyDescent="0.3">
      <c r="A304" s="51" t="s">
        <v>212</v>
      </c>
      <c r="B304" s="2" t="s">
        <v>519</v>
      </c>
      <c r="C304" s="5" t="s">
        <v>520</v>
      </c>
      <c r="D304" s="2">
        <v>3</v>
      </c>
      <c r="E304" s="5" t="s">
        <v>172</v>
      </c>
    </row>
    <row r="305" spans="1:7" x14ac:dyDescent="0.3">
      <c r="A305" s="51" t="s">
        <v>212</v>
      </c>
      <c r="B305" s="2" t="s">
        <v>496</v>
      </c>
      <c r="C305" s="5" t="s">
        <v>810</v>
      </c>
      <c r="D305" s="2">
        <v>4</v>
      </c>
      <c r="E305" s="5" t="s">
        <v>187</v>
      </c>
      <c r="F305" t="s">
        <v>914</v>
      </c>
      <c r="G305" s="68" t="s">
        <v>892</v>
      </c>
    </row>
    <row r="306" spans="1:7" x14ac:dyDescent="0.3">
      <c r="A306" s="51" t="s">
        <v>212</v>
      </c>
      <c r="B306" s="2" t="s">
        <v>322</v>
      </c>
      <c r="C306" s="5" t="s">
        <v>323</v>
      </c>
      <c r="D306" s="2">
        <v>2</v>
      </c>
      <c r="E306" s="5"/>
      <c r="G306" s="54" t="s">
        <v>668</v>
      </c>
    </row>
    <row r="307" spans="1:7" x14ac:dyDescent="0.3">
      <c r="A307" s="51" t="s">
        <v>214</v>
      </c>
      <c r="B307" s="2" t="s">
        <v>497</v>
      </c>
      <c r="C307" s="5" t="s">
        <v>498</v>
      </c>
      <c r="D307" s="2">
        <v>3</v>
      </c>
      <c r="E307" s="5" t="s">
        <v>172</v>
      </c>
    </row>
    <row r="308" spans="1:7" x14ac:dyDescent="0.3">
      <c r="A308" s="51" t="s">
        <v>214</v>
      </c>
      <c r="B308" s="2" t="s">
        <v>507</v>
      </c>
      <c r="C308" s="5" t="s">
        <v>508</v>
      </c>
      <c r="D308" s="2">
        <v>3</v>
      </c>
      <c r="E308" s="5" t="s">
        <v>103</v>
      </c>
      <c r="F308" t="s">
        <v>914</v>
      </c>
      <c r="G308" s="68" t="s">
        <v>892</v>
      </c>
    </row>
    <row r="309" spans="1:7" x14ac:dyDescent="0.3">
      <c r="A309" s="51" t="s">
        <v>214</v>
      </c>
      <c r="B309" s="2" t="s">
        <v>499</v>
      </c>
      <c r="C309" s="5" t="s">
        <v>811</v>
      </c>
      <c r="D309" s="2">
        <v>3</v>
      </c>
      <c r="E309" s="5" t="s">
        <v>32</v>
      </c>
    </row>
    <row r="310" spans="1:7" x14ac:dyDescent="0.3">
      <c r="A310" s="51" t="s">
        <v>214</v>
      </c>
      <c r="B310" s="2" t="s">
        <v>501</v>
      </c>
      <c r="C310" s="5" t="s">
        <v>812</v>
      </c>
      <c r="D310" s="2">
        <v>3</v>
      </c>
      <c r="E310" s="5" t="s">
        <v>187</v>
      </c>
    </row>
    <row r="311" spans="1:7" x14ac:dyDescent="0.3">
      <c r="A311" s="51" t="s">
        <v>214</v>
      </c>
      <c r="B311" s="2" t="s">
        <v>509</v>
      </c>
      <c r="C311" s="5" t="s">
        <v>510</v>
      </c>
      <c r="D311" s="2">
        <v>3</v>
      </c>
      <c r="E311" s="5" t="s">
        <v>148</v>
      </c>
    </row>
    <row r="312" spans="1:7" x14ac:dyDescent="0.3">
      <c r="A312" s="51" t="s">
        <v>214</v>
      </c>
      <c r="B312" s="2" t="s">
        <v>505</v>
      </c>
      <c r="C312" s="5" t="s">
        <v>506</v>
      </c>
      <c r="D312" s="2">
        <v>3</v>
      </c>
      <c r="E312" s="5" t="s">
        <v>111</v>
      </c>
      <c r="F312" t="s">
        <v>914</v>
      </c>
      <c r="G312" s="68" t="s">
        <v>892</v>
      </c>
    </row>
    <row r="313" spans="1:7" x14ac:dyDescent="0.3">
      <c r="A313" s="51" t="s">
        <v>214</v>
      </c>
      <c r="B313" s="2" t="s">
        <v>527</v>
      </c>
      <c r="C313" s="5" t="s">
        <v>417</v>
      </c>
      <c r="D313" s="2">
        <v>2</v>
      </c>
      <c r="E313" s="5"/>
      <c r="G313" s="54" t="s">
        <v>668</v>
      </c>
    </row>
    <row r="314" spans="1:7" x14ac:dyDescent="0.3">
      <c r="A314" s="51" t="s">
        <v>650</v>
      </c>
      <c r="B314" s="2" t="s">
        <v>425</v>
      </c>
      <c r="C314" s="5" t="s">
        <v>813</v>
      </c>
      <c r="D314" s="2">
        <v>2</v>
      </c>
      <c r="E314" s="5"/>
    </row>
    <row r="315" spans="1:7" x14ac:dyDescent="0.3">
      <c r="A315" s="51" t="s">
        <v>650</v>
      </c>
      <c r="B315" s="2" t="s">
        <v>521</v>
      </c>
      <c r="C315" s="5" t="s">
        <v>522</v>
      </c>
      <c r="D315" s="2">
        <v>3</v>
      </c>
      <c r="E315" s="5" t="s">
        <v>172</v>
      </c>
      <c r="G315" s="68" t="s">
        <v>893</v>
      </c>
    </row>
    <row r="316" spans="1:7" x14ac:dyDescent="0.3">
      <c r="A316" s="51" t="s">
        <v>650</v>
      </c>
      <c r="B316" s="2" t="s">
        <v>517</v>
      </c>
      <c r="C316" s="5" t="s">
        <v>518</v>
      </c>
      <c r="D316" s="2">
        <v>3</v>
      </c>
      <c r="E316" s="5" t="s">
        <v>193</v>
      </c>
      <c r="G316" t="s">
        <v>894</v>
      </c>
    </row>
    <row r="317" spans="1:7" x14ac:dyDescent="0.3">
      <c r="A317" s="20" t="s">
        <v>895</v>
      </c>
      <c r="B317" s="2" t="s">
        <v>814</v>
      </c>
      <c r="C317" s="5" t="s">
        <v>815</v>
      </c>
      <c r="D317" s="2">
        <v>3</v>
      </c>
      <c r="E317" s="5" t="s">
        <v>172</v>
      </c>
    </row>
    <row r="318" spans="1:7" x14ac:dyDescent="0.3">
      <c r="A318" s="20" t="s">
        <v>650</v>
      </c>
      <c r="B318" s="2" t="s">
        <v>816</v>
      </c>
      <c r="C318" s="5" t="s">
        <v>817</v>
      </c>
      <c r="D318" s="2">
        <v>3</v>
      </c>
      <c r="E318" s="5" t="s">
        <v>103</v>
      </c>
    </row>
    <row r="319" spans="1:7" x14ac:dyDescent="0.3">
      <c r="A319" s="20" t="s">
        <v>650</v>
      </c>
      <c r="B319" s="2" t="s">
        <v>525</v>
      </c>
      <c r="C319" s="5" t="s">
        <v>526</v>
      </c>
      <c r="D319" s="2">
        <v>3</v>
      </c>
      <c r="E319" s="5" t="s">
        <v>32</v>
      </c>
    </row>
    <row r="320" spans="1:7" x14ac:dyDescent="0.3">
      <c r="A320" s="20" t="s">
        <v>650</v>
      </c>
      <c r="B320" s="2" t="s">
        <v>818</v>
      </c>
      <c r="C320" s="5" t="s">
        <v>819</v>
      </c>
      <c r="D320" s="2">
        <v>3</v>
      </c>
      <c r="E320" s="5" t="s">
        <v>32</v>
      </c>
    </row>
    <row r="321" spans="1:7" x14ac:dyDescent="0.3">
      <c r="A321" s="20" t="s">
        <v>211</v>
      </c>
      <c r="B321" s="2" t="s">
        <v>308</v>
      </c>
      <c r="C321" s="35" t="s">
        <v>697</v>
      </c>
      <c r="D321" s="2">
        <v>2</v>
      </c>
      <c r="E321" s="5"/>
      <c r="G321" s="54" t="s">
        <v>74</v>
      </c>
    </row>
    <row r="322" spans="1:7" x14ac:dyDescent="0.3">
      <c r="A322" s="20" t="s">
        <v>211</v>
      </c>
      <c r="B322" s="2" t="s">
        <v>503</v>
      </c>
      <c r="C322" s="5" t="s">
        <v>504</v>
      </c>
      <c r="D322" s="2">
        <v>3</v>
      </c>
      <c r="E322" s="5" t="s">
        <v>111</v>
      </c>
      <c r="F322" t="s">
        <v>914</v>
      </c>
      <c r="G322" s="68" t="s">
        <v>892</v>
      </c>
    </row>
    <row r="323" spans="1:7" x14ac:dyDescent="0.3">
      <c r="A323" s="20" t="s">
        <v>211</v>
      </c>
      <c r="B323" s="2" t="s">
        <v>511</v>
      </c>
      <c r="C323" s="5" t="s">
        <v>483</v>
      </c>
      <c r="D323" s="2">
        <v>3</v>
      </c>
      <c r="E323" s="5" t="s">
        <v>131</v>
      </c>
    </row>
    <row r="324" spans="1:7" x14ac:dyDescent="0.3">
      <c r="A324" s="20" t="s">
        <v>211</v>
      </c>
      <c r="B324" s="2" t="s">
        <v>500</v>
      </c>
      <c r="C324" s="5" t="s">
        <v>455</v>
      </c>
      <c r="D324" s="2">
        <v>3</v>
      </c>
      <c r="E324" s="5" t="s">
        <v>140</v>
      </c>
    </row>
    <row r="325" spans="1:7" x14ac:dyDescent="0.3">
      <c r="A325" s="20" t="s">
        <v>211</v>
      </c>
      <c r="B325" s="2" t="s">
        <v>515</v>
      </c>
      <c r="C325" s="5" t="s">
        <v>516</v>
      </c>
      <c r="D325" s="2">
        <v>3</v>
      </c>
      <c r="E325" s="5" t="s">
        <v>32</v>
      </c>
    </row>
    <row r="326" spans="1:7" x14ac:dyDescent="0.3">
      <c r="A326" s="20" t="s">
        <v>211</v>
      </c>
      <c r="B326" s="2" t="s">
        <v>383</v>
      </c>
      <c r="C326" s="5" t="s">
        <v>384</v>
      </c>
      <c r="D326" s="2">
        <v>2</v>
      </c>
      <c r="E326" s="5" t="s">
        <v>148</v>
      </c>
    </row>
    <row r="327" spans="1:7" x14ac:dyDescent="0.3">
      <c r="A327" s="20" t="s">
        <v>211</v>
      </c>
      <c r="B327" s="2" t="s">
        <v>356</v>
      </c>
      <c r="C327" s="35" t="s">
        <v>357</v>
      </c>
      <c r="D327" s="2">
        <v>2</v>
      </c>
      <c r="E327" s="5"/>
      <c r="G327" s="54" t="s">
        <v>668</v>
      </c>
    </row>
    <row r="328" spans="1:7" x14ac:dyDescent="0.3">
      <c r="A328" s="51" t="s">
        <v>213</v>
      </c>
      <c r="B328" s="2" t="s">
        <v>513</v>
      </c>
      <c r="C328" s="5" t="s">
        <v>514</v>
      </c>
      <c r="D328" s="2">
        <v>4</v>
      </c>
      <c r="E328" s="5" t="s">
        <v>103</v>
      </c>
      <c r="F328" t="s">
        <v>914</v>
      </c>
      <c r="G328" s="68" t="s">
        <v>892</v>
      </c>
    </row>
    <row r="329" spans="1:7" x14ac:dyDescent="0.3">
      <c r="A329" s="51" t="s">
        <v>213</v>
      </c>
      <c r="B329" s="2" t="s">
        <v>512</v>
      </c>
      <c r="C329" s="5" t="s">
        <v>685</v>
      </c>
      <c r="D329" s="2">
        <v>3</v>
      </c>
      <c r="E329" s="5" t="s">
        <v>111</v>
      </c>
      <c r="F329" t="s">
        <v>914</v>
      </c>
      <c r="G329" s="68" t="s">
        <v>892</v>
      </c>
    </row>
    <row r="330" spans="1:7" x14ac:dyDescent="0.3">
      <c r="A330" s="51" t="s">
        <v>213</v>
      </c>
      <c r="B330" s="2" t="s">
        <v>523</v>
      </c>
      <c r="C330" s="5" t="s">
        <v>524</v>
      </c>
      <c r="D330" s="2">
        <v>3</v>
      </c>
      <c r="E330" s="5" t="s">
        <v>131</v>
      </c>
    </row>
    <row r="331" spans="1:7" x14ac:dyDescent="0.3">
      <c r="A331" s="51" t="s">
        <v>213</v>
      </c>
      <c r="B331" s="2" t="s">
        <v>519</v>
      </c>
      <c r="C331" s="5" t="s">
        <v>520</v>
      </c>
      <c r="D331" s="2">
        <v>3</v>
      </c>
      <c r="E331" s="5" t="s">
        <v>172</v>
      </c>
    </row>
    <row r="332" spans="1:7" x14ac:dyDescent="0.3">
      <c r="A332" s="51" t="s">
        <v>213</v>
      </c>
      <c r="B332" s="2" t="s">
        <v>496</v>
      </c>
      <c r="C332" s="5" t="s">
        <v>810</v>
      </c>
      <c r="D332" s="2">
        <v>4</v>
      </c>
      <c r="E332" s="5" t="s">
        <v>187</v>
      </c>
      <c r="F332" t="s">
        <v>914</v>
      </c>
      <c r="G332" s="68" t="s">
        <v>892</v>
      </c>
    </row>
    <row r="333" spans="1:7" x14ac:dyDescent="0.3">
      <c r="A333" s="51" t="s">
        <v>213</v>
      </c>
      <c r="B333" s="2" t="s">
        <v>322</v>
      </c>
      <c r="C333" s="5" t="s">
        <v>323</v>
      </c>
      <c r="D333" s="2">
        <v>2</v>
      </c>
      <c r="E333" s="5"/>
      <c r="G333" s="54" t="s">
        <v>668</v>
      </c>
    </row>
    <row r="334" spans="1:7" x14ac:dyDescent="0.3">
      <c r="A334" s="51" t="s">
        <v>215</v>
      </c>
      <c r="B334" s="2" t="s">
        <v>497</v>
      </c>
      <c r="C334" s="5" t="s">
        <v>498</v>
      </c>
      <c r="D334" s="2">
        <v>3</v>
      </c>
      <c r="E334" s="5" t="s">
        <v>172</v>
      </c>
    </row>
    <row r="335" spans="1:7" x14ac:dyDescent="0.3">
      <c r="A335" s="51" t="s">
        <v>215</v>
      </c>
      <c r="B335" s="2" t="s">
        <v>507</v>
      </c>
      <c r="C335" s="5" t="s">
        <v>508</v>
      </c>
      <c r="D335" s="2">
        <v>3</v>
      </c>
      <c r="E335" s="5" t="s">
        <v>103</v>
      </c>
      <c r="F335" t="s">
        <v>914</v>
      </c>
      <c r="G335" s="68" t="s">
        <v>892</v>
      </c>
    </row>
    <row r="336" spans="1:7" x14ac:dyDescent="0.3">
      <c r="A336" s="51" t="s">
        <v>215</v>
      </c>
      <c r="B336" s="2" t="s">
        <v>499</v>
      </c>
      <c r="C336" s="5" t="s">
        <v>811</v>
      </c>
      <c r="D336" s="2">
        <v>3</v>
      </c>
      <c r="E336" s="5" t="s">
        <v>32</v>
      </c>
    </row>
    <row r="337" spans="1:7" x14ac:dyDescent="0.3">
      <c r="A337" s="51" t="s">
        <v>215</v>
      </c>
      <c r="B337" s="2" t="s">
        <v>501</v>
      </c>
      <c r="C337" s="5" t="s">
        <v>812</v>
      </c>
      <c r="D337" s="2">
        <v>3</v>
      </c>
      <c r="E337" s="5" t="s">
        <v>187</v>
      </c>
    </row>
    <row r="338" spans="1:7" x14ac:dyDescent="0.3">
      <c r="A338" s="51" t="s">
        <v>215</v>
      </c>
      <c r="B338" s="2" t="s">
        <v>509</v>
      </c>
      <c r="C338" s="5" t="s">
        <v>510</v>
      </c>
      <c r="D338" s="2">
        <v>3</v>
      </c>
      <c r="E338" s="5" t="s">
        <v>148</v>
      </c>
    </row>
    <row r="339" spans="1:7" x14ac:dyDescent="0.3">
      <c r="A339" s="51" t="s">
        <v>215</v>
      </c>
      <c r="B339" s="2" t="s">
        <v>505</v>
      </c>
      <c r="C339" s="5" t="s">
        <v>506</v>
      </c>
      <c r="D339" s="2">
        <v>3</v>
      </c>
      <c r="E339" s="5" t="s">
        <v>111</v>
      </c>
      <c r="F339" t="s">
        <v>914</v>
      </c>
      <c r="G339" s="68" t="s">
        <v>892</v>
      </c>
    </row>
    <row r="340" spans="1:7" x14ac:dyDescent="0.3">
      <c r="A340" s="51" t="s">
        <v>215</v>
      </c>
      <c r="B340" s="2" t="s">
        <v>527</v>
      </c>
      <c r="C340" s="5" t="s">
        <v>417</v>
      </c>
      <c r="D340" s="2">
        <v>2</v>
      </c>
      <c r="E340" s="5"/>
    </row>
    <row r="341" spans="1:7" x14ac:dyDescent="0.3">
      <c r="A341" s="51" t="s">
        <v>651</v>
      </c>
      <c r="B341" s="2" t="s">
        <v>425</v>
      </c>
      <c r="C341" s="5" t="s">
        <v>813</v>
      </c>
      <c r="D341" s="2">
        <v>2</v>
      </c>
      <c r="E341" s="5"/>
    </row>
    <row r="342" spans="1:7" x14ac:dyDescent="0.3">
      <c r="A342" s="20" t="s">
        <v>234</v>
      </c>
      <c r="B342" s="47" t="s">
        <v>356</v>
      </c>
      <c r="C342" s="35" t="s">
        <v>357</v>
      </c>
      <c r="D342" s="47">
        <v>2</v>
      </c>
      <c r="E342" s="5"/>
    </row>
    <row r="343" spans="1:7" x14ac:dyDescent="0.3">
      <c r="A343" s="20" t="s">
        <v>234</v>
      </c>
      <c r="B343" s="47" t="s">
        <v>383</v>
      </c>
      <c r="C343" s="69" t="s">
        <v>820</v>
      </c>
      <c r="D343" s="47">
        <v>2</v>
      </c>
      <c r="E343" s="5" t="s">
        <v>26</v>
      </c>
    </row>
    <row r="344" spans="1:7" x14ac:dyDescent="0.3">
      <c r="A344" s="20" t="s">
        <v>234</v>
      </c>
      <c r="B344" s="47" t="s">
        <v>473</v>
      </c>
      <c r="C344" s="69" t="s">
        <v>821</v>
      </c>
      <c r="D344" s="47">
        <v>2</v>
      </c>
      <c r="E344" s="5" t="s">
        <v>140</v>
      </c>
    </row>
    <row r="345" spans="1:7" x14ac:dyDescent="0.3">
      <c r="A345" s="20" t="s">
        <v>234</v>
      </c>
      <c r="B345" s="47" t="s">
        <v>476</v>
      </c>
      <c r="C345" s="69" t="s">
        <v>822</v>
      </c>
      <c r="D345" s="47">
        <v>3</v>
      </c>
      <c r="E345" s="5" t="s">
        <v>131</v>
      </c>
      <c r="G345" s="54" t="s">
        <v>668</v>
      </c>
    </row>
    <row r="346" spans="1:7" x14ac:dyDescent="0.3">
      <c r="A346" s="20" t="s">
        <v>234</v>
      </c>
      <c r="B346" s="47" t="s">
        <v>486</v>
      </c>
      <c r="C346" s="69" t="s">
        <v>823</v>
      </c>
      <c r="D346" s="47">
        <v>2</v>
      </c>
      <c r="E346" s="5" t="s">
        <v>156</v>
      </c>
    </row>
    <row r="347" spans="1:7" x14ac:dyDescent="0.3">
      <c r="A347" s="20" t="s">
        <v>234</v>
      </c>
      <c r="B347" s="47" t="s">
        <v>482</v>
      </c>
      <c r="C347" s="69" t="s">
        <v>824</v>
      </c>
      <c r="D347" s="47">
        <v>3</v>
      </c>
      <c r="E347" s="5" t="s">
        <v>140</v>
      </c>
    </row>
    <row r="348" spans="1:7" x14ac:dyDescent="0.3">
      <c r="A348" s="20" t="s">
        <v>234</v>
      </c>
      <c r="B348" s="47" t="s">
        <v>484</v>
      </c>
      <c r="C348" s="69" t="s">
        <v>825</v>
      </c>
      <c r="D348" s="47">
        <v>3</v>
      </c>
      <c r="E348" s="5" t="s">
        <v>30</v>
      </c>
    </row>
    <row r="349" spans="1:7" x14ac:dyDescent="0.3">
      <c r="A349" s="51" t="s">
        <v>896</v>
      </c>
      <c r="B349" s="47" t="s">
        <v>746</v>
      </c>
      <c r="C349" s="69" t="s">
        <v>747</v>
      </c>
      <c r="D349" s="59">
        <v>3</v>
      </c>
      <c r="E349" s="5"/>
    </row>
    <row r="350" spans="1:7" x14ac:dyDescent="0.3">
      <c r="A350" s="51" t="s">
        <v>896</v>
      </c>
      <c r="B350" s="47" t="s">
        <v>371</v>
      </c>
      <c r="C350" s="5" t="s">
        <v>849</v>
      </c>
      <c r="D350" s="47">
        <v>3</v>
      </c>
      <c r="E350" s="5" t="s">
        <v>148</v>
      </c>
      <c r="F350" t="s">
        <v>258</v>
      </c>
      <c r="G350" s="54" t="s">
        <v>897</v>
      </c>
    </row>
    <row r="351" spans="1:7" x14ac:dyDescent="0.3">
      <c r="A351" s="51" t="s">
        <v>233</v>
      </c>
      <c r="B351" s="47" t="s">
        <v>475</v>
      </c>
      <c r="C351" s="69" t="s">
        <v>826</v>
      </c>
      <c r="D351" s="47">
        <v>3</v>
      </c>
      <c r="E351" s="5" t="s">
        <v>26</v>
      </c>
      <c r="F351" t="s">
        <v>914</v>
      </c>
    </row>
    <row r="352" spans="1:7" x14ac:dyDescent="0.3">
      <c r="A352" s="51" t="s">
        <v>896</v>
      </c>
      <c r="B352" s="47" t="s">
        <v>491</v>
      </c>
      <c r="C352" s="69" t="s">
        <v>827</v>
      </c>
      <c r="D352" s="47">
        <v>2</v>
      </c>
      <c r="E352" s="5" t="s">
        <v>30</v>
      </c>
      <c r="F352" t="s">
        <v>258</v>
      </c>
    </row>
    <row r="353" spans="1:7" x14ac:dyDescent="0.3">
      <c r="A353" s="51" t="s">
        <v>896</v>
      </c>
      <c r="B353" s="47" t="s">
        <v>474</v>
      </c>
      <c r="C353" s="69" t="s">
        <v>828</v>
      </c>
      <c r="D353" s="47">
        <v>3</v>
      </c>
      <c r="E353" s="5" t="s">
        <v>30</v>
      </c>
      <c r="F353" t="s">
        <v>258</v>
      </c>
    </row>
    <row r="354" spans="1:7" x14ac:dyDescent="0.3">
      <c r="A354" s="51" t="s">
        <v>896</v>
      </c>
      <c r="B354" s="47" t="s">
        <v>477</v>
      </c>
      <c r="C354" s="69" t="s">
        <v>829</v>
      </c>
      <c r="D354" s="47">
        <v>2</v>
      </c>
      <c r="E354" s="5" t="s">
        <v>156</v>
      </c>
      <c r="F354" t="s">
        <v>258</v>
      </c>
    </row>
    <row r="355" spans="1:7" x14ac:dyDescent="0.3">
      <c r="A355" s="51" t="s">
        <v>896</v>
      </c>
      <c r="B355" s="47" t="s">
        <v>485</v>
      </c>
      <c r="C355" s="69" t="s">
        <v>830</v>
      </c>
      <c r="D355" s="47">
        <v>3</v>
      </c>
      <c r="E355" s="5" t="s">
        <v>30</v>
      </c>
      <c r="F355" t="s">
        <v>914</v>
      </c>
    </row>
    <row r="356" spans="1:7" x14ac:dyDescent="0.3">
      <c r="A356" s="51" t="s">
        <v>688</v>
      </c>
      <c r="B356" s="47" t="s">
        <v>352</v>
      </c>
      <c r="C356" s="55" t="s">
        <v>868</v>
      </c>
      <c r="D356" s="47">
        <v>2</v>
      </c>
      <c r="E356" s="5"/>
    </row>
    <row r="357" spans="1:7" x14ac:dyDescent="0.3">
      <c r="A357" s="51" t="s">
        <v>688</v>
      </c>
      <c r="B357" s="47" t="s">
        <v>478</v>
      </c>
      <c r="C357" s="69" t="s">
        <v>831</v>
      </c>
      <c r="D357" s="47">
        <v>3</v>
      </c>
      <c r="E357" s="5" t="s">
        <v>144</v>
      </c>
      <c r="F357" t="s">
        <v>258</v>
      </c>
    </row>
    <row r="358" spans="1:7" x14ac:dyDescent="0.3">
      <c r="A358" s="51" t="s">
        <v>235</v>
      </c>
      <c r="B358" s="47" t="s">
        <v>494</v>
      </c>
      <c r="C358" s="69" t="s">
        <v>832</v>
      </c>
      <c r="D358" s="47">
        <v>3</v>
      </c>
      <c r="E358" s="5" t="s">
        <v>26</v>
      </c>
    </row>
    <row r="359" spans="1:7" x14ac:dyDescent="0.3">
      <c r="A359" s="51" t="s">
        <v>688</v>
      </c>
      <c r="B359" s="47" t="s">
        <v>488</v>
      </c>
      <c r="C359" s="69" t="s">
        <v>833</v>
      </c>
      <c r="D359" s="47">
        <v>2</v>
      </c>
      <c r="E359" s="5" t="s">
        <v>193</v>
      </c>
      <c r="F359" t="s">
        <v>258</v>
      </c>
    </row>
    <row r="360" spans="1:7" x14ac:dyDescent="0.3">
      <c r="A360" s="51" t="s">
        <v>688</v>
      </c>
      <c r="B360" s="47" t="s">
        <v>480</v>
      </c>
      <c r="C360" s="69" t="s">
        <v>834</v>
      </c>
      <c r="D360" s="47">
        <v>3</v>
      </c>
      <c r="E360" s="5" t="s">
        <v>144</v>
      </c>
      <c r="F360" t="s">
        <v>258</v>
      </c>
    </row>
    <row r="361" spans="1:7" x14ac:dyDescent="0.3">
      <c r="A361" s="51" t="s">
        <v>688</v>
      </c>
      <c r="B361" s="47" t="s">
        <v>495</v>
      </c>
      <c r="C361" s="69" t="s">
        <v>835</v>
      </c>
      <c r="D361" s="47">
        <v>3</v>
      </c>
      <c r="E361" s="5" t="s">
        <v>156</v>
      </c>
      <c r="F361" t="s">
        <v>258</v>
      </c>
    </row>
    <row r="362" spans="1:7" x14ac:dyDescent="0.3">
      <c r="A362" s="51" t="s">
        <v>688</v>
      </c>
      <c r="B362" s="47" t="s">
        <v>479</v>
      </c>
      <c r="C362" s="69" t="s">
        <v>836</v>
      </c>
      <c r="D362" s="47">
        <v>3</v>
      </c>
      <c r="E362" s="5" t="s">
        <v>30</v>
      </c>
      <c r="F362" t="s">
        <v>258</v>
      </c>
    </row>
    <row r="363" spans="1:7" x14ac:dyDescent="0.3">
      <c r="A363" s="51" t="s">
        <v>653</v>
      </c>
      <c r="B363" s="47" t="s">
        <v>322</v>
      </c>
      <c r="C363" s="5" t="s">
        <v>323</v>
      </c>
      <c r="D363" s="47">
        <v>2</v>
      </c>
      <c r="E363" s="5"/>
    </row>
    <row r="364" spans="1:7" x14ac:dyDescent="0.3">
      <c r="A364" s="51" t="s">
        <v>653</v>
      </c>
      <c r="B364" s="47" t="s">
        <v>489</v>
      </c>
      <c r="C364" s="69" t="s">
        <v>837</v>
      </c>
      <c r="D364" s="47">
        <v>3</v>
      </c>
      <c r="E364" s="5" t="s">
        <v>144</v>
      </c>
    </row>
    <row r="365" spans="1:7" x14ac:dyDescent="0.3">
      <c r="A365" s="51" t="s">
        <v>653</v>
      </c>
      <c r="B365" s="47" t="s">
        <v>490</v>
      </c>
      <c r="C365" s="69" t="s">
        <v>838</v>
      </c>
      <c r="D365" s="47">
        <v>3</v>
      </c>
      <c r="E365" s="5" t="s">
        <v>193</v>
      </c>
    </row>
    <row r="366" spans="1:7" x14ac:dyDescent="0.3">
      <c r="A366" s="51" t="s">
        <v>898</v>
      </c>
      <c r="B366" s="47" t="s">
        <v>487</v>
      </c>
      <c r="C366" s="69" t="s">
        <v>839</v>
      </c>
      <c r="D366" s="47">
        <v>2</v>
      </c>
      <c r="E366" s="5" t="s">
        <v>156</v>
      </c>
      <c r="F366" t="s">
        <v>258</v>
      </c>
    </row>
    <row r="367" spans="1:7" x14ac:dyDescent="0.3">
      <c r="A367" s="51" t="s">
        <v>653</v>
      </c>
      <c r="B367" s="47" t="s">
        <v>493</v>
      </c>
      <c r="C367" s="69" t="s">
        <v>840</v>
      </c>
      <c r="D367" s="47">
        <v>3</v>
      </c>
      <c r="E367" s="5"/>
      <c r="G367" s="54" t="s">
        <v>899</v>
      </c>
    </row>
    <row r="368" spans="1:7" x14ac:dyDescent="0.3">
      <c r="A368" s="51" t="s">
        <v>898</v>
      </c>
      <c r="B368" s="47" t="s">
        <v>492</v>
      </c>
      <c r="C368" s="69" t="s">
        <v>841</v>
      </c>
      <c r="D368" s="47">
        <v>3</v>
      </c>
      <c r="E368" s="5"/>
      <c r="F368" t="s">
        <v>258</v>
      </c>
      <c r="G368" s="54" t="s">
        <v>899</v>
      </c>
    </row>
    <row r="369" spans="1:7" x14ac:dyDescent="0.3">
      <c r="A369" s="51" t="s">
        <v>900</v>
      </c>
      <c r="B369" s="47" t="s">
        <v>481</v>
      </c>
      <c r="C369" s="69" t="s">
        <v>842</v>
      </c>
      <c r="D369" s="47">
        <v>3</v>
      </c>
      <c r="E369" s="5" t="s">
        <v>193</v>
      </c>
    </row>
    <row r="370" spans="1:7" x14ac:dyDescent="0.3">
      <c r="A370" s="51" t="s">
        <v>900</v>
      </c>
      <c r="B370" s="47" t="s">
        <v>843</v>
      </c>
      <c r="C370" s="69" t="s">
        <v>844</v>
      </c>
      <c r="D370" s="47">
        <v>3</v>
      </c>
      <c r="E370" s="5" t="s">
        <v>30</v>
      </c>
    </row>
    <row r="371" spans="1:7" x14ac:dyDescent="0.3">
      <c r="A371" s="51" t="s">
        <v>652</v>
      </c>
      <c r="B371" s="47" t="s">
        <v>494</v>
      </c>
      <c r="C371" s="69" t="s">
        <v>832</v>
      </c>
      <c r="D371" s="47">
        <v>3</v>
      </c>
      <c r="E371" s="5" t="s">
        <v>26</v>
      </c>
    </row>
    <row r="372" spans="1:7" x14ac:dyDescent="0.3">
      <c r="A372" s="51" t="s">
        <v>901</v>
      </c>
      <c r="B372" s="47" t="s">
        <v>322</v>
      </c>
      <c r="C372" s="5" t="s">
        <v>323</v>
      </c>
      <c r="D372" s="47">
        <v>2</v>
      </c>
      <c r="E372" s="5"/>
    </row>
    <row r="373" spans="1:7" x14ac:dyDescent="0.3">
      <c r="A373" s="51" t="s">
        <v>901</v>
      </c>
      <c r="B373" s="47" t="s">
        <v>489</v>
      </c>
      <c r="C373" s="69" t="s">
        <v>837</v>
      </c>
      <c r="D373" s="47">
        <v>3</v>
      </c>
      <c r="E373" s="5" t="s">
        <v>193</v>
      </c>
    </row>
    <row r="374" spans="1:7" x14ac:dyDescent="0.3">
      <c r="A374" s="51" t="s">
        <v>901</v>
      </c>
      <c r="B374" s="47" t="s">
        <v>490</v>
      </c>
      <c r="C374" s="69" t="s">
        <v>838</v>
      </c>
      <c r="D374" s="47">
        <v>3</v>
      </c>
      <c r="E374" s="5" t="s">
        <v>193</v>
      </c>
    </row>
    <row r="375" spans="1:7" x14ac:dyDescent="0.3">
      <c r="A375" s="51" t="s">
        <v>901</v>
      </c>
      <c r="B375" s="47" t="s">
        <v>493</v>
      </c>
      <c r="C375" s="69" t="s">
        <v>840</v>
      </c>
      <c r="D375" s="47">
        <v>3</v>
      </c>
      <c r="E375" s="5"/>
      <c r="G375" s="54" t="s">
        <v>899</v>
      </c>
    </row>
    <row r="376" spans="1:7" x14ac:dyDescent="0.3">
      <c r="A376" s="20" t="s">
        <v>204</v>
      </c>
      <c r="B376" s="9" t="s">
        <v>356</v>
      </c>
      <c r="C376" s="35" t="s">
        <v>357</v>
      </c>
      <c r="D376" s="9">
        <v>2</v>
      </c>
      <c r="E376" s="2"/>
    </row>
    <row r="377" spans="1:7" x14ac:dyDescent="0.3">
      <c r="A377" s="20" t="s">
        <v>204</v>
      </c>
      <c r="B377" s="9" t="s">
        <v>383</v>
      </c>
      <c r="C377" s="5" t="s">
        <v>384</v>
      </c>
      <c r="D377" s="9">
        <v>2</v>
      </c>
      <c r="E377" s="2" t="s">
        <v>26</v>
      </c>
    </row>
    <row r="378" spans="1:7" x14ac:dyDescent="0.3">
      <c r="A378" s="20" t="s">
        <v>204</v>
      </c>
      <c r="B378" s="9" t="s">
        <v>378</v>
      </c>
      <c r="C378" s="5" t="s">
        <v>379</v>
      </c>
      <c r="D378" s="9">
        <v>3</v>
      </c>
      <c r="E378" s="2" t="s">
        <v>52</v>
      </c>
      <c r="F378" t="s">
        <v>919</v>
      </c>
    </row>
    <row r="379" spans="1:7" x14ac:dyDescent="0.3">
      <c r="A379" s="20" t="s">
        <v>204</v>
      </c>
      <c r="B379" s="2" t="s">
        <v>380</v>
      </c>
      <c r="C379" s="5" t="s">
        <v>381</v>
      </c>
      <c r="D379" s="9">
        <v>3</v>
      </c>
      <c r="E379" s="2" t="s">
        <v>176</v>
      </c>
      <c r="F379" t="s">
        <v>919</v>
      </c>
    </row>
    <row r="380" spans="1:7" ht="15.6" x14ac:dyDescent="0.3">
      <c r="A380" s="20" t="s">
        <v>204</v>
      </c>
      <c r="B380" s="9" t="s">
        <v>369</v>
      </c>
      <c r="C380" s="5" t="s">
        <v>845</v>
      </c>
      <c r="D380" s="9">
        <v>3</v>
      </c>
      <c r="E380" s="2" t="s">
        <v>150</v>
      </c>
      <c r="F380" t="s">
        <v>919</v>
      </c>
    </row>
    <row r="381" spans="1:7" ht="15.6" x14ac:dyDescent="0.3">
      <c r="A381" s="20" t="s">
        <v>204</v>
      </c>
      <c r="B381" s="49" t="s">
        <v>358</v>
      </c>
      <c r="C381" s="5" t="s">
        <v>846</v>
      </c>
      <c r="D381" s="50">
        <v>2</v>
      </c>
      <c r="E381" s="2" t="s">
        <v>152</v>
      </c>
    </row>
    <row r="382" spans="1:7" x14ac:dyDescent="0.3">
      <c r="A382" s="20" t="s">
        <v>204</v>
      </c>
      <c r="B382" s="9" t="s">
        <v>382</v>
      </c>
      <c r="C382" s="5" t="s">
        <v>847</v>
      </c>
      <c r="D382" s="9">
        <v>3</v>
      </c>
      <c r="E382" s="2" t="s">
        <v>168</v>
      </c>
    </row>
    <row r="383" spans="1:7" x14ac:dyDescent="0.3">
      <c r="A383" s="51" t="s">
        <v>203</v>
      </c>
      <c r="B383" s="9" t="s">
        <v>746</v>
      </c>
      <c r="C383" s="5" t="s">
        <v>848</v>
      </c>
      <c r="D383" s="50">
        <v>2</v>
      </c>
      <c r="E383" s="2"/>
    </row>
    <row r="384" spans="1:7" x14ac:dyDescent="0.3">
      <c r="A384" s="51" t="s">
        <v>203</v>
      </c>
      <c r="B384" s="9" t="s">
        <v>371</v>
      </c>
      <c r="C384" s="5" t="s">
        <v>849</v>
      </c>
      <c r="D384" s="50">
        <v>1.5</v>
      </c>
      <c r="E384" s="2" t="s">
        <v>148</v>
      </c>
      <c r="G384" t="s">
        <v>897</v>
      </c>
    </row>
    <row r="385" spans="1:7" x14ac:dyDescent="0.3">
      <c r="A385" s="51" t="s">
        <v>203</v>
      </c>
      <c r="B385" s="9" t="s">
        <v>371</v>
      </c>
      <c r="C385" s="5" t="s">
        <v>849</v>
      </c>
      <c r="D385" s="50">
        <v>1.5</v>
      </c>
      <c r="E385" s="2" t="s">
        <v>176</v>
      </c>
      <c r="G385" t="s">
        <v>897</v>
      </c>
    </row>
    <row r="386" spans="1:7" x14ac:dyDescent="0.3">
      <c r="A386" s="51" t="s">
        <v>203</v>
      </c>
      <c r="B386" s="9" t="s">
        <v>365</v>
      </c>
      <c r="C386" s="5" t="s">
        <v>850</v>
      </c>
      <c r="D386" s="50">
        <v>3</v>
      </c>
      <c r="E386" s="2" t="s">
        <v>132</v>
      </c>
    </row>
    <row r="387" spans="1:7" x14ac:dyDescent="0.3">
      <c r="A387" s="51" t="s">
        <v>203</v>
      </c>
      <c r="B387" s="9" t="s">
        <v>366</v>
      </c>
      <c r="C387" s="5" t="s">
        <v>851</v>
      </c>
      <c r="D387" s="50">
        <v>3</v>
      </c>
      <c r="E387" s="2" t="s">
        <v>150</v>
      </c>
    </row>
    <row r="388" spans="1:7" x14ac:dyDescent="0.3">
      <c r="A388" s="51" t="s">
        <v>203</v>
      </c>
      <c r="B388" s="9" t="s">
        <v>390</v>
      </c>
      <c r="C388" s="5" t="s">
        <v>391</v>
      </c>
      <c r="D388" s="50">
        <v>3</v>
      </c>
      <c r="E388" s="2" t="s">
        <v>168</v>
      </c>
      <c r="F388" t="s">
        <v>919</v>
      </c>
    </row>
    <row r="389" spans="1:7" x14ac:dyDescent="0.3">
      <c r="A389" s="51" t="s">
        <v>203</v>
      </c>
      <c r="B389" s="9" t="s">
        <v>376</v>
      </c>
      <c r="C389" s="5" t="s">
        <v>377</v>
      </c>
      <c r="D389" s="50">
        <v>3</v>
      </c>
      <c r="E389" s="2" t="s">
        <v>132</v>
      </c>
    </row>
    <row r="390" spans="1:7" x14ac:dyDescent="0.3">
      <c r="A390" s="51" t="s">
        <v>203</v>
      </c>
      <c r="B390" s="9" t="s">
        <v>387</v>
      </c>
      <c r="C390" s="5" t="s">
        <v>388</v>
      </c>
      <c r="D390" s="50">
        <v>2</v>
      </c>
      <c r="E390" s="2" t="s">
        <v>152</v>
      </c>
    </row>
    <row r="391" spans="1:7" x14ac:dyDescent="0.3">
      <c r="A391" s="51" t="s">
        <v>205</v>
      </c>
      <c r="B391" s="9" t="s">
        <v>328</v>
      </c>
      <c r="C391" s="5" t="s">
        <v>329</v>
      </c>
      <c r="D391" s="50">
        <v>2</v>
      </c>
      <c r="E391" s="2" t="s">
        <v>150</v>
      </c>
      <c r="G391" t="s">
        <v>903</v>
      </c>
    </row>
    <row r="392" spans="1:7" x14ac:dyDescent="0.3">
      <c r="A392" s="51" t="s">
        <v>205</v>
      </c>
      <c r="B392" s="9" t="s">
        <v>852</v>
      </c>
      <c r="C392" s="5" t="s">
        <v>853</v>
      </c>
      <c r="D392" s="50">
        <v>3</v>
      </c>
      <c r="E392" s="2" t="s">
        <v>132</v>
      </c>
    </row>
    <row r="393" spans="1:7" x14ac:dyDescent="0.3">
      <c r="A393" s="51" t="s">
        <v>205</v>
      </c>
      <c r="B393" s="9" t="s">
        <v>854</v>
      </c>
      <c r="C393" s="5" t="s">
        <v>855</v>
      </c>
      <c r="D393" s="50">
        <v>3</v>
      </c>
      <c r="E393" s="2" t="s">
        <v>168</v>
      </c>
    </row>
    <row r="394" spans="1:7" x14ac:dyDescent="0.3">
      <c r="A394" s="51" t="s">
        <v>205</v>
      </c>
      <c r="B394" s="9" t="s">
        <v>363</v>
      </c>
      <c r="C394" s="5" t="s">
        <v>364</v>
      </c>
      <c r="D394" s="50">
        <v>3</v>
      </c>
      <c r="E394" s="2" t="s">
        <v>52</v>
      </c>
    </row>
    <row r="395" spans="1:7" x14ac:dyDescent="0.3">
      <c r="A395" s="51" t="s">
        <v>205</v>
      </c>
      <c r="B395" s="9" t="s">
        <v>361</v>
      </c>
      <c r="C395" s="5" t="s">
        <v>362</v>
      </c>
      <c r="D395" s="50">
        <v>3</v>
      </c>
      <c r="E395" s="2" t="s">
        <v>52</v>
      </c>
    </row>
    <row r="396" spans="1:7" x14ac:dyDescent="0.3">
      <c r="A396" s="51" t="s">
        <v>205</v>
      </c>
      <c r="B396" s="9" t="s">
        <v>372</v>
      </c>
      <c r="C396" s="5" t="s">
        <v>373</v>
      </c>
      <c r="D396" s="50">
        <v>2</v>
      </c>
      <c r="E396" s="2" t="s">
        <v>152</v>
      </c>
    </row>
    <row r="397" spans="1:7" x14ac:dyDescent="0.3">
      <c r="A397" s="51" t="s">
        <v>205</v>
      </c>
      <c r="B397" s="9" t="s">
        <v>370</v>
      </c>
      <c r="C397" s="5" t="s">
        <v>856</v>
      </c>
      <c r="D397" s="50">
        <v>3</v>
      </c>
      <c r="E397" s="2" t="s">
        <v>168</v>
      </c>
    </row>
    <row r="398" spans="1:7" x14ac:dyDescent="0.3">
      <c r="A398" s="51" t="s">
        <v>648</v>
      </c>
      <c r="B398" s="9" t="s">
        <v>352</v>
      </c>
      <c r="C398" s="55" t="s">
        <v>868</v>
      </c>
      <c r="D398" s="50">
        <v>2</v>
      </c>
      <c r="E398" s="2"/>
    </row>
    <row r="399" spans="1:7" x14ac:dyDescent="0.3">
      <c r="A399" s="51" t="s">
        <v>648</v>
      </c>
      <c r="B399" s="9" t="s">
        <v>389</v>
      </c>
      <c r="C399" s="5" t="s">
        <v>857</v>
      </c>
      <c r="D399" s="50">
        <v>1.5</v>
      </c>
      <c r="E399" s="2" t="s">
        <v>176</v>
      </c>
    </row>
    <row r="400" spans="1:7" x14ac:dyDescent="0.3">
      <c r="A400" s="51" t="s">
        <v>904</v>
      </c>
      <c r="B400" s="9" t="s">
        <v>389</v>
      </c>
      <c r="C400" s="5" t="s">
        <v>857</v>
      </c>
      <c r="D400" s="50">
        <v>1.5</v>
      </c>
      <c r="E400" s="2" t="s">
        <v>52</v>
      </c>
    </row>
    <row r="401" spans="1:6" x14ac:dyDescent="0.3">
      <c r="A401" s="51" t="s">
        <v>648</v>
      </c>
      <c r="B401" s="9" t="s">
        <v>359</v>
      </c>
      <c r="C401" s="5" t="s">
        <v>360</v>
      </c>
      <c r="D401" s="50">
        <v>3</v>
      </c>
      <c r="E401" s="2" t="s">
        <v>168</v>
      </c>
    </row>
    <row r="402" spans="1:6" x14ac:dyDescent="0.3">
      <c r="A402" s="51" t="s">
        <v>648</v>
      </c>
      <c r="B402" s="9" t="s">
        <v>367</v>
      </c>
      <c r="C402" s="5" t="s">
        <v>368</v>
      </c>
      <c r="D402" s="50">
        <v>3</v>
      </c>
      <c r="E402" s="2" t="s">
        <v>52</v>
      </c>
    </row>
    <row r="403" spans="1:6" x14ac:dyDescent="0.3">
      <c r="A403" s="51" t="s">
        <v>648</v>
      </c>
      <c r="B403" s="9" t="s">
        <v>374</v>
      </c>
      <c r="C403" s="5" t="s">
        <v>375</v>
      </c>
      <c r="D403" s="50">
        <v>3</v>
      </c>
      <c r="E403" s="2" t="s">
        <v>150</v>
      </c>
    </row>
    <row r="404" spans="1:6" x14ac:dyDescent="0.3">
      <c r="A404" s="51" t="s">
        <v>648</v>
      </c>
      <c r="B404" s="9" t="s">
        <v>392</v>
      </c>
      <c r="C404" s="5" t="s">
        <v>393</v>
      </c>
      <c r="D404" s="50">
        <v>3</v>
      </c>
      <c r="E404" s="2" t="s">
        <v>176</v>
      </c>
      <c r="F404" t="s">
        <v>914</v>
      </c>
    </row>
    <row r="405" spans="1:6" x14ac:dyDescent="0.3">
      <c r="A405" s="51" t="s">
        <v>648</v>
      </c>
      <c r="B405" s="70" t="s">
        <v>801</v>
      </c>
      <c r="C405" s="5" t="s">
        <v>610</v>
      </c>
      <c r="D405" s="50">
        <v>2</v>
      </c>
      <c r="E405" s="2"/>
    </row>
    <row r="406" spans="1:6" x14ac:dyDescent="0.3">
      <c r="A406" s="51" t="s">
        <v>648</v>
      </c>
      <c r="B406" s="70" t="s">
        <v>858</v>
      </c>
      <c r="C406" s="5" t="s">
        <v>859</v>
      </c>
      <c r="D406" s="50">
        <v>6</v>
      </c>
      <c r="E406" s="2"/>
    </row>
    <row r="407" spans="1:6" x14ac:dyDescent="0.3">
      <c r="A407" s="20" t="s">
        <v>905</v>
      </c>
      <c r="B407" s="9" t="s">
        <v>860</v>
      </c>
      <c r="C407" s="5" t="s">
        <v>643</v>
      </c>
      <c r="D407" s="50">
        <v>3</v>
      </c>
      <c r="E407" s="2" t="s">
        <v>176</v>
      </c>
    </row>
    <row r="408" spans="1:6" x14ac:dyDescent="0.3">
      <c r="A408" s="20" t="s">
        <v>905</v>
      </c>
      <c r="B408" s="9" t="s">
        <v>385</v>
      </c>
      <c r="C408" s="5" t="s">
        <v>386</v>
      </c>
      <c r="D408" s="50">
        <v>2</v>
      </c>
      <c r="E408" s="2" t="s">
        <v>150</v>
      </c>
    </row>
    <row r="409" spans="1:6" x14ac:dyDescent="0.3">
      <c r="A409" s="20" t="s">
        <v>905</v>
      </c>
      <c r="B409" s="9" t="s">
        <v>861</v>
      </c>
      <c r="C409" s="5" t="s">
        <v>862</v>
      </c>
      <c r="D409" s="2">
        <v>3</v>
      </c>
      <c r="E409" s="2" t="s">
        <v>132</v>
      </c>
    </row>
    <row r="410" spans="1:6" x14ac:dyDescent="0.3">
      <c r="A410" s="35" t="s">
        <v>906</v>
      </c>
      <c r="B410" s="23"/>
      <c r="C410" s="71" t="s">
        <v>417</v>
      </c>
      <c r="D410" s="3">
        <v>2</v>
      </c>
      <c r="E410" s="3" t="s">
        <v>50</v>
      </c>
    </row>
    <row r="411" spans="1:6" x14ac:dyDescent="0.3">
      <c r="A411" s="35" t="s">
        <v>907</v>
      </c>
      <c r="B411" s="23"/>
      <c r="C411" s="71" t="s">
        <v>417</v>
      </c>
      <c r="D411" s="3">
        <v>2</v>
      </c>
      <c r="E411" s="3" t="s">
        <v>195</v>
      </c>
    </row>
    <row r="412" spans="1:6" ht="15" x14ac:dyDescent="0.35">
      <c r="A412" s="12" t="s">
        <v>240</v>
      </c>
      <c r="B412" s="15" t="s">
        <v>541</v>
      </c>
      <c r="C412" s="8" t="s">
        <v>542</v>
      </c>
      <c r="D412" s="15">
        <v>2</v>
      </c>
      <c r="E412" s="5" t="s">
        <v>20</v>
      </c>
    </row>
    <row r="413" spans="1:6" ht="15" x14ac:dyDescent="0.35">
      <c r="A413" s="12" t="s">
        <v>241</v>
      </c>
      <c r="B413" s="15" t="s">
        <v>541</v>
      </c>
      <c r="C413" s="8" t="s">
        <v>542</v>
      </c>
      <c r="D413" s="15">
        <v>2</v>
      </c>
      <c r="E413" s="5" t="s">
        <v>20</v>
      </c>
    </row>
    <row r="414" spans="1:6" ht="15" x14ac:dyDescent="0.35">
      <c r="A414" s="12" t="s">
        <v>238</v>
      </c>
      <c r="B414" s="15" t="s">
        <v>543</v>
      </c>
      <c r="C414" s="8" t="s">
        <v>544</v>
      </c>
      <c r="D414" s="15">
        <v>3</v>
      </c>
      <c r="E414" s="5" t="s">
        <v>180</v>
      </c>
    </row>
    <row r="415" spans="1:6" ht="15" x14ac:dyDescent="0.35">
      <c r="A415" s="12" t="s">
        <v>239</v>
      </c>
      <c r="B415" s="15" t="s">
        <v>543</v>
      </c>
      <c r="C415" s="8" t="s">
        <v>544</v>
      </c>
      <c r="D415" s="15">
        <v>3</v>
      </c>
      <c r="E415" s="5" t="s">
        <v>189</v>
      </c>
    </row>
    <row r="416" spans="1:6" ht="15" x14ac:dyDescent="0.35">
      <c r="A416" s="12" t="s">
        <v>240</v>
      </c>
      <c r="B416" s="15" t="s">
        <v>545</v>
      </c>
      <c r="C416" s="8" t="s">
        <v>546</v>
      </c>
      <c r="D416" s="15">
        <v>3</v>
      </c>
      <c r="E416" s="5" t="s">
        <v>189</v>
      </c>
    </row>
    <row r="417" spans="1:5" ht="15" x14ac:dyDescent="0.35">
      <c r="A417" s="12" t="s">
        <v>241</v>
      </c>
      <c r="B417" s="15" t="s">
        <v>545</v>
      </c>
      <c r="C417" s="8" t="s">
        <v>546</v>
      </c>
      <c r="D417" s="15">
        <v>3</v>
      </c>
      <c r="E417" s="5" t="s">
        <v>138</v>
      </c>
    </row>
    <row r="418" spans="1:5" ht="15" x14ac:dyDescent="0.35">
      <c r="A418" s="9" t="s">
        <v>236</v>
      </c>
      <c r="B418" s="15" t="s">
        <v>547</v>
      </c>
      <c r="C418" s="8" t="s">
        <v>548</v>
      </c>
      <c r="D418" s="15">
        <v>3</v>
      </c>
      <c r="E418" s="5" t="s">
        <v>138</v>
      </c>
    </row>
    <row r="419" spans="1:5" ht="15" x14ac:dyDescent="0.35">
      <c r="A419" s="9" t="s">
        <v>237</v>
      </c>
      <c r="B419" s="15" t="s">
        <v>547</v>
      </c>
      <c r="C419" s="8" t="s">
        <v>548</v>
      </c>
      <c r="D419" s="15">
        <v>3</v>
      </c>
      <c r="E419" s="5" t="s">
        <v>180</v>
      </c>
    </row>
    <row r="420" spans="1:5" ht="15" x14ac:dyDescent="0.35">
      <c r="A420" s="12" t="s">
        <v>242</v>
      </c>
      <c r="B420" s="15" t="s">
        <v>549</v>
      </c>
      <c r="C420" s="8" t="s">
        <v>672</v>
      </c>
      <c r="D420" s="15">
        <v>3</v>
      </c>
      <c r="E420" s="5" t="s">
        <v>41</v>
      </c>
    </row>
    <row r="421" spans="1:5" ht="15" x14ac:dyDescent="0.35">
      <c r="A421" s="12" t="s">
        <v>673</v>
      </c>
      <c r="B421" s="15" t="s">
        <v>549</v>
      </c>
      <c r="C421" s="8" t="s">
        <v>674</v>
      </c>
      <c r="D421" s="15">
        <v>3</v>
      </c>
      <c r="E421" s="5" t="s">
        <v>178</v>
      </c>
    </row>
    <row r="422" spans="1:5" ht="15" x14ac:dyDescent="0.35">
      <c r="A422" s="12" t="s">
        <v>242</v>
      </c>
      <c r="B422" s="15" t="s">
        <v>550</v>
      </c>
      <c r="C422" s="8" t="s">
        <v>675</v>
      </c>
      <c r="D422" s="15">
        <v>3</v>
      </c>
      <c r="E422" s="5" t="s">
        <v>138</v>
      </c>
    </row>
    <row r="423" spans="1:5" ht="15" x14ac:dyDescent="0.35">
      <c r="A423" s="12" t="s">
        <v>673</v>
      </c>
      <c r="B423" s="15" t="s">
        <v>550</v>
      </c>
      <c r="C423" s="8" t="s">
        <v>676</v>
      </c>
      <c r="D423" s="15">
        <v>3</v>
      </c>
      <c r="E423" s="5" t="s">
        <v>91</v>
      </c>
    </row>
    <row r="424" spans="1:5" ht="15" x14ac:dyDescent="0.35">
      <c r="A424" s="12" t="s">
        <v>238</v>
      </c>
      <c r="B424" s="15" t="s">
        <v>551</v>
      </c>
      <c r="C424" s="8" t="s">
        <v>552</v>
      </c>
      <c r="D424" s="15">
        <v>3</v>
      </c>
      <c r="E424" s="5" t="s">
        <v>38</v>
      </c>
    </row>
    <row r="425" spans="1:5" ht="15" x14ac:dyDescent="0.35">
      <c r="A425" s="12" t="s">
        <v>239</v>
      </c>
      <c r="B425" s="15" t="s">
        <v>551</v>
      </c>
      <c r="C425" s="8" t="s">
        <v>552</v>
      </c>
      <c r="D425" s="15">
        <v>3</v>
      </c>
      <c r="E425" s="5" t="s">
        <v>38</v>
      </c>
    </row>
    <row r="426" spans="1:5" ht="15" x14ac:dyDescent="0.35">
      <c r="A426" s="12" t="s">
        <v>654</v>
      </c>
      <c r="B426" s="15" t="s">
        <v>553</v>
      </c>
      <c r="C426" s="8" t="s">
        <v>554</v>
      </c>
      <c r="D426" s="15">
        <v>2</v>
      </c>
      <c r="E426" s="5" t="s">
        <v>180</v>
      </c>
    </row>
    <row r="427" spans="1:5" ht="15" x14ac:dyDescent="0.35">
      <c r="A427" s="12" t="s">
        <v>655</v>
      </c>
      <c r="B427" s="15" t="s">
        <v>553</v>
      </c>
      <c r="C427" s="8" t="s">
        <v>554</v>
      </c>
      <c r="D427" s="15">
        <v>2</v>
      </c>
      <c r="E427" s="5" t="s">
        <v>138</v>
      </c>
    </row>
    <row r="428" spans="1:5" ht="15" x14ac:dyDescent="0.35">
      <c r="A428" s="12" t="s">
        <v>240</v>
      </c>
      <c r="B428" s="15" t="s">
        <v>555</v>
      </c>
      <c r="C428" s="8" t="s">
        <v>556</v>
      </c>
      <c r="D428" s="15">
        <v>2</v>
      </c>
      <c r="E428" s="5" t="s">
        <v>91</v>
      </c>
    </row>
    <row r="429" spans="1:5" ht="15" x14ac:dyDescent="0.35">
      <c r="A429" s="12" t="s">
        <v>241</v>
      </c>
      <c r="B429" s="15" t="s">
        <v>555</v>
      </c>
      <c r="C429" s="8" t="s">
        <v>556</v>
      </c>
      <c r="D429" s="15">
        <v>2</v>
      </c>
      <c r="E429" s="5" t="s">
        <v>91</v>
      </c>
    </row>
    <row r="430" spans="1:5" ht="15" x14ac:dyDescent="0.35">
      <c r="A430" s="12" t="s">
        <v>240</v>
      </c>
      <c r="B430" s="15" t="s">
        <v>557</v>
      </c>
      <c r="C430" s="8" t="s">
        <v>558</v>
      </c>
      <c r="D430" s="15">
        <v>3</v>
      </c>
      <c r="E430" s="5" t="s">
        <v>121</v>
      </c>
    </row>
    <row r="431" spans="1:5" ht="15" x14ac:dyDescent="0.35">
      <c r="A431" s="12" t="s">
        <v>241</v>
      </c>
      <c r="B431" s="15" t="s">
        <v>557</v>
      </c>
      <c r="C431" s="8" t="s">
        <v>558</v>
      </c>
      <c r="D431" s="15">
        <v>3</v>
      </c>
      <c r="E431" s="5" t="s">
        <v>121</v>
      </c>
    </row>
    <row r="432" spans="1:5" ht="15" x14ac:dyDescent="0.35">
      <c r="A432" s="12" t="s">
        <v>238</v>
      </c>
      <c r="B432" s="15" t="s">
        <v>559</v>
      </c>
      <c r="C432" s="8" t="s">
        <v>560</v>
      </c>
      <c r="D432" s="15">
        <v>3</v>
      </c>
      <c r="E432" s="5" t="s">
        <v>121</v>
      </c>
    </row>
    <row r="433" spans="1:6" ht="15" x14ac:dyDescent="0.35">
      <c r="A433" s="12" t="s">
        <v>239</v>
      </c>
      <c r="B433" s="15" t="s">
        <v>559</v>
      </c>
      <c r="C433" s="8" t="s">
        <v>560</v>
      </c>
      <c r="D433" s="15">
        <v>3</v>
      </c>
      <c r="E433" s="5" t="s">
        <v>189</v>
      </c>
    </row>
    <row r="434" spans="1:6" ht="15" x14ac:dyDescent="0.35">
      <c r="A434" s="12" t="s">
        <v>654</v>
      </c>
      <c r="B434" s="15" t="s">
        <v>561</v>
      </c>
      <c r="C434" s="8" t="s">
        <v>562</v>
      </c>
      <c r="D434" s="15">
        <v>4</v>
      </c>
      <c r="E434" s="5"/>
    </row>
    <row r="435" spans="1:6" ht="15" x14ac:dyDescent="0.35">
      <c r="A435" s="9" t="s">
        <v>236</v>
      </c>
      <c r="B435" s="15" t="s">
        <v>352</v>
      </c>
      <c r="C435" s="8" t="s">
        <v>353</v>
      </c>
      <c r="D435" s="15">
        <v>2</v>
      </c>
      <c r="E435" s="5" t="s">
        <v>121</v>
      </c>
    </row>
    <row r="436" spans="1:6" ht="15" x14ac:dyDescent="0.35">
      <c r="A436" s="9" t="s">
        <v>237</v>
      </c>
      <c r="B436" s="15" t="s">
        <v>352</v>
      </c>
      <c r="C436" s="8" t="s">
        <v>353</v>
      </c>
      <c r="D436" s="15">
        <v>2</v>
      </c>
      <c r="E436" s="5" t="s">
        <v>121</v>
      </c>
    </row>
    <row r="437" spans="1:6" ht="15" x14ac:dyDescent="0.35">
      <c r="A437" s="12" t="s">
        <v>686</v>
      </c>
      <c r="B437" s="15" t="s">
        <v>527</v>
      </c>
      <c r="C437" s="8" t="s">
        <v>417</v>
      </c>
      <c r="D437" s="15">
        <v>2</v>
      </c>
      <c r="E437" s="5" t="s">
        <v>23</v>
      </c>
      <c r="F437" t="s">
        <v>920</v>
      </c>
    </row>
    <row r="438" spans="1:6" ht="15" x14ac:dyDescent="0.35">
      <c r="A438" s="12" t="s">
        <v>654</v>
      </c>
      <c r="B438" s="15" t="s">
        <v>677</v>
      </c>
      <c r="C438" s="8" t="s">
        <v>678</v>
      </c>
      <c r="D438" s="15">
        <v>3</v>
      </c>
      <c r="E438" s="5" t="s">
        <v>180</v>
      </c>
    </row>
    <row r="439" spans="1:6" ht="15" x14ac:dyDescent="0.35">
      <c r="A439" s="12" t="s">
        <v>654</v>
      </c>
      <c r="B439" s="15" t="s">
        <v>679</v>
      </c>
      <c r="C439" s="8" t="s">
        <v>680</v>
      </c>
      <c r="D439" s="15">
        <v>2</v>
      </c>
      <c r="E439" s="5" t="s">
        <v>91</v>
      </c>
    </row>
    <row r="440" spans="1:6" ht="15" x14ac:dyDescent="0.35">
      <c r="A440" s="12" t="s">
        <v>654</v>
      </c>
      <c r="B440" s="15" t="s">
        <v>681</v>
      </c>
      <c r="C440" s="8" t="s">
        <v>682</v>
      </c>
      <c r="D440" s="15">
        <v>2</v>
      </c>
      <c r="E440" s="5" t="s">
        <v>28</v>
      </c>
    </row>
    <row r="441" spans="1:6" ht="15" x14ac:dyDescent="0.35">
      <c r="A441" s="10" t="s">
        <v>656</v>
      </c>
      <c r="B441" s="2" t="s">
        <v>563</v>
      </c>
      <c r="C441" s="8" t="s">
        <v>564</v>
      </c>
      <c r="D441" s="9">
        <v>5</v>
      </c>
      <c r="E441" s="5" t="s">
        <v>21</v>
      </c>
    </row>
    <row r="442" spans="1:6" ht="15" x14ac:dyDescent="0.35">
      <c r="A442" s="10" t="s">
        <v>657</v>
      </c>
      <c r="B442" s="2" t="s">
        <v>563</v>
      </c>
      <c r="C442" s="8" t="s">
        <v>564</v>
      </c>
      <c r="D442" s="9">
        <v>5</v>
      </c>
      <c r="E442" s="5" t="s">
        <v>136</v>
      </c>
    </row>
    <row r="443" spans="1:6" ht="15" x14ac:dyDescent="0.35">
      <c r="A443" s="20" t="s">
        <v>243</v>
      </c>
      <c r="B443" s="9" t="s">
        <v>356</v>
      </c>
      <c r="C443" s="8" t="s">
        <v>357</v>
      </c>
      <c r="D443" s="9">
        <v>2</v>
      </c>
      <c r="E443" s="5" t="s">
        <v>93</v>
      </c>
    </row>
    <row r="444" spans="1:6" ht="15" x14ac:dyDescent="0.35">
      <c r="A444" s="20" t="s">
        <v>244</v>
      </c>
      <c r="B444" s="9" t="s">
        <v>356</v>
      </c>
      <c r="C444" s="8" t="s">
        <v>357</v>
      </c>
      <c r="D444" s="9">
        <v>2</v>
      </c>
      <c r="E444" s="5" t="s">
        <v>62</v>
      </c>
    </row>
    <row r="445" spans="1:6" ht="15" x14ac:dyDescent="0.35">
      <c r="A445" s="10" t="s">
        <v>656</v>
      </c>
      <c r="B445" s="9"/>
      <c r="C445" s="8" t="s">
        <v>565</v>
      </c>
      <c r="D445" s="9">
        <v>3</v>
      </c>
      <c r="E445" s="5" t="s">
        <v>164</v>
      </c>
    </row>
    <row r="446" spans="1:6" ht="15" x14ac:dyDescent="0.35">
      <c r="A446" s="20" t="s">
        <v>243</v>
      </c>
      <c r="B446" s="2" t="s">
        <v>566</v>
      </c>
      <c r="C446" s="8" t="s">
        <v>567</v>
      </c>
      <c r="D446" s="9">
        <v>2</v>
      </c>
      <c r="E446" s="19" t="s">
        <v>34</v>
      </c>
    </row>
    <row r="447" spans="1:6" ht="15" x14ac:dyDescent="0.35">
      <c r="A447" s="20" t="s">
        <v>244</v>
      </c>
      <c r="B447" s="2" t="s">
        <v>566</v>
      </c>
      <c r="C447" s="8" t="s">
        <v>567</v>
      </c>
      <c r="D447" s="9">
        <v>2</v>
      </c>
      <c r="E447" s="19"/>
    </row>
    <row r="448" spans="1:6" ht="15" x14ac:dyDescent="0.35">
      <c r="A448" s="20" t="s">
        <v>243</v>
      </c>
      <c r="B448" s="2" t="s">
        <v>568</v>
      </c>
      <c r="C448" s="8" t="s">
        <v>535</v>
      </c>
      <c r="D448" s="9">
        <v>2</v>
      </c>
      <c r="E448" s="5" t="s">
        <v>115</v>
      </c>
    </row>
    <row r="449" spans="1:6" ht="15" x14ac:dyDescent="0.35">
      <c r="A449" s="20" t="s">
        <v>244</v>
      </c>
      <c r="B449" s="2" t="s">
        <v>568</v>
      </c>
      <c r="C449" s="8" t="s">
        <v>535</v>
      </c>
      <c r="D449" s="9">
        <v>2</v>
      </c>
      <c r="E449" s="5" t="s">
        <v>136</v>
      </c>
    </row>
    <row r="450" spans="1:6" ht="15" x14ac:dyDescent="0.35">
      <c r="A450" s="10" t="s">
        <v>249</v>
      </c>
      <c r="B450" s="11"/>
      <c r="C450" s="8" t="s">
        <v>569</v>
      </c>
      <c r="D450" s="12">
        <v>3</v>
      </c>
      <c r="E450" s="5" t="s">
        <v>28</v>
      </c>
    </row>
    <row r="451" spans="1:6" ht="15" x14ac:dyDescent="0.35">
      <c r="A451" s="20" t="s">
        <v>243</v>
      </c>
      <c r="B451" s="2" t="s">
        <v>570</v>
      </c>
      <c r="C451" s="8" t="s">
        <v>455</v>
      </c>
      <c r="D451" s="9">
        <v>3</v>
      </c>
      <c r="E451" s="5" t="s">
        <v>166</v>
      </c>
    </row>
    <row r="452" spans="1:6" ht="15" x14ac:dyDescent="0.35">
      <c r="A452" s="20" t="s">
        <v>244</v>
      </c>
      <c r="B452" s="2" t="s">
        <v>570</v>
      </c>
      <c r="C452" s="8" t="s">
        <v>455</v>
      </c>
      <c r="D452" s="9">
        <v>3</v>
      </c>
      <c r="E452" s="19" t="s">
        <v>140</v>
      </c>
    </row>
    <row r="453" spans="1:6" ht="15" x14ac:dyDescent="0.35">
      <c r="A453" s="20" t="s">
        <v>243</v>
      </c>
      <c r="B453" s="2" t="s">
        <v>571</v>
      </c>
      <c r="C453" s="8" t="s">
        <v>458</v>
      </c>
      <c r="D453" s="9">
        <v>3</v>
      </c>
      <c r="E453" s="5"/>
    </row>
    <row r="454" spans="1:6" ht="15" x14ac:dyDescent="0.35">
      <c r="A454" s="20" t="s">
        <v>244</v>
      </c>
      <c r="B454" s="2" t="s">
        <v>571</v>
      </c>
      <c r="C454" s="8" t="s">
        <v>458</v>
      </c>
      <c r="D454" s="9">
        <v>3</v>
      </c>
      <c r="E454" s="5"/>
    </row>
    <row r="455" spans="1:6" ht="15" x14ac:dyDescent="0.35">
      <c r="A455" s="10" t="s">
        <v>245</v>
      </c>
      <c r="B455" s="2" t="s">
        <v>572</v>
      </c>
      <c r="C455" s="8" t="s">
        <v>573</v>
      </c>
      <c r="D455" s="9">
        <v>2</v>
      </c>
      <c r="E455" s="5"/>
    </row>
    <row r="456" spans="1:6" ht="15" x14ac:dyDescent="0.35">
      <c r="A456" s="10" t="s">
        <v>246</v>
      </c>
      <c r="B456" s="2" t="s">
        <v>572</v>
      </c>
      <c r="C456" s="8" t="s">
        <v>573</v>
      </c>
      <c r="D456" s="9">
        <v>2</v>
      </c>
      <c r="E456" s="5" t="s">
        <v>21</v>
      </c>
    </row>
    <row r="457" spans="1:6" ht="15" x14ac:dyDescent="0.35">
      <c r="A457" s="20" t="s">
        <v>243</v>
      </c>
      <c r="B457" s="2" t="s">
        <v>574</v>
      </c>
      <c r="C457" s="8" t="s">
        <v>504</v>
      </c>
      <c r="D457" s="9">
        <v>2</v>
      </c>
      <c r="E457" s="5" t="s">
        <v>125</v>
      </c>
      <c r="F457" t="s">
        <v>914</v>
      </c>
    </row>
    <row r="458" spans="1:6" ht="15" x14ac:dyDescent="0.35">
      <c r="A458" s="20" t="s">
        <v>244</v>
      </c>
      <c r="B458" s="2" t="s">
        <v>574</v>
      </c>
      <c r="C458" s="8" t="s">
        <v>504</v>
      </c>
      <c r="D458" s="9">
        <v>2</v>
      </c>
      <c r="E458" s="5" t="s">
        <v>32</v>
      </c>
      <c r="F458" t="s">
        <v>914</v>
      </c>
    </row>
    <row r="459" spans="1:6" ht="15" x14ac:dyDescent="0.35">
      <c r="A459" s="10" t="s">
        <v>656</v>
      </c>
      <c r="B459" s="2" t="s">
        <v>575</v>
      </c>
      <c r="C459" s="8" t="s">
        <v>576</v>
      </c>
      <c r="D459" s="9">
        <v>3</v>
      </c>
      <c r="E459" s="5" t="s">
        <v>164</v>
      </c>
    </row>
    <row r="460" spans="1:6" ht="15" x14ac:dyDescent="0.35">
      <c r="A460" s="10" t="s">
        <v>657</v>
      </c>
      <c r="B460" s="2" t="s">
        <v>575</v>
      </c>
      <c r="C460" s="8" t="s">
        <v>576</v>
      </c>
      <c r="D460" s="9">
        <v>3</v>
      </c>
      <c r="E460" s="5" t="s">
        <v>185</v>
      </c>
    </row>
    <row r="461" spans="1:6" ht="15" x14ac:dyDescent="0.35">
      <c r="A461" s="10" t="s">
        <v>247</v>
      </c>
      <c r="B461" s="2" t="s">
        <v>577</v>
      </c>
      <c r="C461" s="8" t="s">
        <v>578</v>
      </c>
      <c r="D461" s="9">
        <v>2</v>
      </c>
      <c r="E461" s="5" t="s">
        <v>4</v>
      </c>
    </row>
    <row r="462" spans="1:6" ht="15" x14ac:dyDescent="0.35">
      <c r="A462" s="10" t="s">
        <v>248</v>
      </c>
      <c r="B462" s="2" t="s">
        <v>577</v>
      </c>
      <c r="C462" s="8" t="s">
        <v>578</v>
      </c>
      <c r="D462" s="9">
        <v>2</v>
      </c>
      <c r="E462" s="5" t="s">
        <v>123</v>
      </c>
    </row>
    <row r="463" spans="1:6" ht="15" x14ac:dyDescent="0.35">
      <c r="A463" s="10" t="s">
        <v>656</v>
      </c>
      <c r="B463" s="16" t="s">
        <v>579</v>
      </c>
      <c r="C463" s="8" t="s">
        <v>460</v>
      </c>
      <c r="D463" s="9">
        <v>2</v>
      </c>
      <c r="E463" s="5" t="s">
        <v>164</v>
      </c>
    </row>
    <row r="464" spans="1:6" ht="15" x14ac:dyDescent="0.35">
      <c r="A464" s="10" t="s">
        <v>657</v>
      </c>
      <c r="B464" s="16" t="s">
        <v>579</v>
      </c>
      <c r="C464" s="8" t="s">
        <v>460</v>
      </c>
      <c r="D464" s="9">
        <v>2</v>
      </c>
      <c r="E464" s="5" t="s">
        <v>164</v>
      </c>
    </row>
    <row r="465" spans="1:5" ht="15" x14ac:dyDescent="0.35">
      <c r="A465" s="10" t="s">
        <v>245</v>
      </c>
      <c r="B465" s="2" t="s">
        <v>580</v>
      </c>
      <c r="C465" s="8" t="s">
        <v>581</v>
      </c>
      <c r="D465" s="9">
        <v>3</v>
      </c>
      <c r="E465" s="5" t="s">
        <v>21</v>
      </c>
    </row>
    <row r="466" spans="1:5" ht="15" x14ac:dyDescent="0.35">
      <c r="A466" s="10" t="s">
        <v>246</v>
      </c>
      <c r="B466" s="2" t="s">
        <v>580</v>
      </c>
      <c r="C466" s="8" t="s">
        <v>581</v>
      </c>
      <c r="D466" s="9">
        <v>3</v>
      </c>
      <c r="E466" s="5" t="s">
        <v>166</v>
      </c>
    </row>
    <row r="467" spans="1:5" ht="15" x14ac:dyDescent="0.35">
      <c r="A467" s="10" t="s">
        <v>656</v>
      </c>
      <c r="B467" s="2" t="s">
        <v>582</v>
      </c>
      <c r="C467" s="8" t="s">
        <v>336</v>
      </c>
      <c r="D467" s="9">
        <v>2</v>
      </c>
      <c r="E467" s="5" t="s">
        <v>166</v>
      </c>
    </row>
    <row r="468" spans="1:5" ht="15" x14ac:dyDescent="0.35">
      <c r="A468" s="10" t="s">
        <v>657</v>
      </c>
      <c r="B468" s="2" t="s">
        <v>582</v>
      </c>
      <c r="C468" s="8" t="s">
        <v>336</v>
      </c>
      <c r="D468" s="9">
        <v>2</v>
      </c>
      <c r="E468" s="5" t="s">
        <v>136</v>
      </c>
    </row>
    <row r="469" spans="1:5" ht="15" x14ac:dyDescent="0.35">
      <c r="A469" s="10" t="s">
        <v>247</v>
      </c>
      <c r="B469" s="2" t="s">
        <v>583</v>
      </c>
      <c r="C469" s="8" t="s">
        <v>584</v>
      </c>
      <c r="D469" s="9">
        <v>3</v>
      </c>
      <c r="E469" s="5" t="s">
        <v>125</v>
      </c>
    </row>
    <row r="470" spans="1:5" ht="15" x14ac:dyDescent="0.35">
      <c r="A470" s="10" t="s">
        <v>248</v>
      </c>
      <c r="B470" s="2" t="s">
        <v>583</v>
      </c>
      <c r="C470" s="8" t="s">
        <v>584</v>
      </c>
      <c r="D470" s="9">
        <v>3</v>
      </c>
      <c r="E470" s="5" t="s">
        <v>185</v>
      </c>
    </row>
    <row r="471" spans="1:5" ht="15" x14ac:dyDescent="0.35">
      <c r="A471" s="20" t="s">
        <v>243</v>
      </c>
      <c r="B471" s="2" t="s">
        <v>585</v>
      </c>
      <c r="C471" s="8" t="s">
        <v>586</v>
      </c>
      <c r="D471" s="9">
        <v>3</v>
      </c>
      <c r="E471" s="5" t="s">
        <v>136</v>
      </c>
    </row>
    <row r="472" spans="1:5" ht="15" x14ac:dyDescent="0.35">
      <c r="A472" s="20" t="s">
        <v>244</v>
      </c>
      <c r="B472" s="2" t="s">
        <v>585</v>
      </c>
      <c r="C472" s="8" t="s">
        <v>586</v>
      </c>
      <c r="D472" s="9">
        <v>3</v>
      </c>
      <c r="E472" s="5" t="s">
        <v>115</v>
      </c>
    </row>
    <row r="473" spans="1:5" ht="15" x14ac:dyDescent="0.35">
      <c r="A473" s="10" t="s">
        <v>247</v>
      </c>
      <c r="B473" s="9" t="s">
        <v>587</v>
      </c>
      <c r="C473" s="8" t="s">
        <v>588</v>
      </c>
      <c r="D473" s="9">
        <v>3</v>
      </c>
      <c r="E473" s="5"/>
    </row>
    <row r="474" spans="1:5" ht="15" x14ac:dyDescent="0.35">
      <c r="A474" s="10" t="s">
        <v>248</v>
      </c>
      <c r="B474" s="9" t="s">
        <v>587</v>
      </c>
      <c r="C474" s="8" t="s">
        <v>588</v>
      </c>
      <c r="D474" s="9">
        <v>3</v>
      </c>
      <c r="E474" s="5" t="s">
        <v>115</v>
      </c>
    </row>
    <row r="475" spans="1:5" ht="15" x14ac:dyDescent="0.35">
      <c r="A475" s="10" t="s">
        <v>247</v>
      </c>
      <c r="B475" s="2" t="s">
        <v>589</v>
      </c>
      <c r="C475" s="8" t="s">
        <v>590</v>
      </c>
      <c r="D475" s="9">
        <v>4</v>
      </c>
      <c r="E475" s="5" t="s">
        <v>164</v>
      </c>
    </row>
    <row r="476" spans="1:5" ht="15" x14ac:dyDescent="0.35">
      <c r="A476" s="10" t="s">
        <v>248</v>
      </c>
      <c r="B476" s="2" t="s">
        <v>589</v>
      </c>
      <c r="C476" s="8" t="s">
        <v>590</v>
      </c>
      <c r="D476" s="9">
        <v>4</v>
      </c>
      <c r="E476" s="5" t="s">
        <v>125</v>
      </c>
    </row>
    <row r="477" spans="1:5" ht="15" x14ac:dyDescent="0.35">
      <c r="A477" s="10" t="s">
        <v>656</v>
      </c>
      <c r="B477" s="2" t="s">
        <v>591</v>
      </c>
      <c r="C477" s="8" t="s">
        <v>592</v>
      </c>
      <c r="D477" s="9">
        <v>4</v>
      </c>
      <c r="E477" s="5" t="s">
        <v>136</v>
      </c>
    </row>
    <row r="478" spans="1:5" ht="15" x14ac:dyDescent="0.35">
      <c r="A478" s="10" t="s">
        <v>657</v>
      </c>
      <c r="B478" s="2" t="s">
        <v>591</v>
      </c>
      <c r="C478" s="8" t="s">
        <v>592</v>
      </c>
      <c r="D478" s="9">
        <v>4</v>
      </c>
      <c r="E478" s="5" t="s">
        <v>125</v>
      </c>
    </row>
    <row r="479" spans="1:5" ht="15" x14ac:dyDescent="0.35">
      <c r="A479" s="10" t="s">
        <v>245</v>
      </c>
      <c r="B479" s="2" t="s">
        <v>593</v>
      </c>
      <c r="C479" s="8" t="s">
        <v>594</v>
      </c>
      <c r="D479" s="9">
        <v>3</v>
      </c>
      <c r="E479" s="5" t="s">
        <v>164</v>
      </c>
    </row>
    <row r="480" spans="1:5" ht="15" x14ac:dyDescent="0.35">
      <c r="A480" s="10" t="s">
        <v>246</v>
      </c>
      <c r="B480" s="2" t="s">
        <v>593</v>
      </c>
      <c r="C480" s="8" t="s">
        <v>594</v>
      </c>
      <c r="D480" s="9">
        <v>3</v>
      </c>
      <c r="E480" s="5" t="s">
        <v>21</v>
      </c>
    </row>
    <row r="481" spans="1:5" ht="15" x14ac:dyDescent="0.35">
      <c r="A481" s="10" t="s">
        <v>245</v>
      </c>
      <c r="B481" s="2" t="s">
        <v>595</v>
      </c>
      <c r="C481" s="8" t="s">
        <v>596</v>
      </c>
      <c r="D481" s="9">
        <v>3</v>
      </c>
      <c r="E481" s="5" t="s">
        <v>185</v>
      </c>
    </row>
    <row r="482" spans="1:5" ht="15" x14ac:dyDescent="0.35">
      <c r="A482" s="10" t="s">
        <v>246</v>
      </c>
      <c r="B482" s="2" t="s">
        <v>595</v>
      </c>
      <c r="C482" s="8" t="s">
        <v>596</v>
      </c>
      <c r="D482" s="9">
        <v>3</v>
      </c>
      <c r="E482" s="5" t="s">
        <v>16</v>
      </c>
    </row>
    <row r="483" spans="1:5" ht="15" x14ac:dyDescent="0.35">
      <c r="A483" s="10" t="s">
        <v>247</v>
      </c>
      <c r="B483" s="2" t="s">
        <v>597</v>
      </c>
      <c r="C483" s="8" t="s">
        <v>598</v>
      </c>
      <c r="D483" s="9">
        <v>3</v>
      </c>
      <c r="E483" s="5" t="s">
        <v>185</v>
      </c>
    </row>
    <row r="484" spans="1:5" ht="15" x14ac:dyDescent="0.35">
      <c r="A484" s="10" t="s">
        <v>248</v>
      </c>
      <c r="B484" s="2" t="s">
        <v>597</v>
      </c>
      <c r="C484" s="8" t="s">
        <v>598</v>
      </c>
      <c r="D484" s="9">
        <v>3</v>
      </c>
      <c r="E484" s="5" t="s">
        <v>21</v>
      </c>
    </row>
    <row r="485" spans="1:5" ht="15" x14ac:dyDescent="0.35">
      <c r="A485" s="10" t="s">
        <v>245</v>
      </c>
      <c r="B485" s="2" t="s">
        <v>599</v>
      </c>
      <c r="C485" s="8" t="s">
        <v>600</v>
      </c>
      <c r="D485" s="9">
        <v>3</v>
      </c>
      <c r="E485" s="5" t="s">
        <v>125</v>
      </c>
    </row>
    <row r="486" spans="1:5" ht="15" x14ac:dyDescent="0.35">
      <c r="A486" s="10" t="s">
        <v>246</v>
      </c>
      <c r="B486" s="2" t="s">
        <v>599</v>
      </c>
      <c r="C486" s="8" t="s">
        <v>600</v>
      </c>
      <c r="D486" s="9">
        <v>3</v>
      </c>
      <c r="E486" s="5" t="s">
        <v>185</v>
      </c>
    </row>
    <row r="487" spans="1:5" ht="15" x14ac:dyDescent="0.35">
      <c r="A487" s="10" t="s">
        <v>245</v>
      </c>
      <c r="B487" s="2" t="s">
        <v>601</v>
      </c>
      <c r="C487" s="8" t="s">
        <v>602</v>
      </c>
      <c r="D487" s="9">
        <v>3</v>
      </c>
      <c r="E487" s="5" t="s">
        <v>166</v>
      </c>
    </row>
    <row r="488" spans="1:5" ht="15" x14ac:dyDescent="0.35">
      <c r="A488" s="10" t="s">
        <v>246</v>
      </c>
      <c r="B488" s="2" t="s">
        <v>601</v>
      </c>
      <c r="C488" s="8" t="s">
        <v>602</v>
      </c>
      <c r="D488" s="9">
        <v>3</v>
      </c>
      <c r="E488" s="5" t="s">
        <v>115</v>
      </c>
    </row>
    <row r="489" spans="1:5" ht="15" x14ac:dyDescent="0.35">
      <c r="A489" s="10" t="s">
        <v>687</v>
      </c>
      <c r="B489" s="15" t="s">
        <v>352</v>
      </c>
      <c r="C489" s="8" t="s">
        <v>353</v>
      </c>
      <c r="D489" s="9">
        <v>2</v>
      </c>
      <c r="E489" s="5" t="s">
        <v>72</v>
      </c>
    </row>
    <row r="490" spans="1:5" ht="15" x14ac:dyDescent="0.35">
      <c r="A490" s="10" t="s">
        <v>687</v>
      </c>
      <c r="B490" s="15" t="s">
        <v>352</v>
      </c>
      <c r="C490" s="8" t="s">
        <v>353</v>
      </c>
      <c r="D490" s="9">
        <v>2</v>
      </c>
      <c r="E490" s="5">
        <v>0</v>
      </c>
    </row>
    <row r="491" spans="1:5" ht="15" x14ac:dyDescent="0.35">
      <c r="A491" s="28" t="s">
        <v>658</v>
      </c>
      <c r="B491" s="5" t="s">
        <v>603</v>
      </c>
      <c r="C491" s="8" t="s">
        <v>604</v>
      </c>
      <c r="D491" s="5">
        <v>3</v>
      </c>
      <c r="E491" s="5" t="s">
        <v>142</v>
      </c>
    </row>
    <row r="492" spans="1:5" ht="15" x14ac:dyDescent="0.35">
      <c r="A492" s="30" t="s">
        <v>252</v>
      </c>
      <c r="B492" s="17" t="s">
        <v>322</v>
      </c>
      <c r="C492" s="8" t="s">
        <v>323</v>
      </c>
      <c r="D492" s="5">
        <v>2</v>
      </c>
      <c r="E492" s="5" t="s">
        <v>663</v>
      </c>
    </row>
    <row r="493" spans="1:5" ht="15" x14ac:dyDescent="0.35">
      <c r="A493" s="28" t="s">
        <v>250</v>
      </c>
      <c r="B493" s="5" t="s">
        <v>605</v>
      </c>
      <c r="C493" s="8" t="s">
        <v>451</v>
      </c>
      <c r="D493" s="5">
        <v>3</v>
      </c>
      <c r="E493" s="5" t="s">
        <v>142</v>
      </c>
    </row>
    <row r="494" spans="1:5" ht="15" x14ac:dyDescent="0.35">
      <c r="A494" s="30" t="s">
        <v>252</v>
      </c>
      <c r="B494" s="18" t="s">
        <v>453</v>
      </c>
      <c r="C494" s="8" t="s">
        <v>606</v>
      </c>
      <c r="D494" s="5">
        <v>2</v>
      </c>
      <c r="E494" s="5" t="s">
        <v>50</v>
      </c>
    </row>
    <row r="495" spans="1:5" ht="15" x14ac:dyDescent="0.35">
      <c r="A495" s="30" t="s">
        <v>252</v>
      </c>
      <c r="B495" s="13" t="s">
        <v>454</v>
      </c>
      <c r="C495" s="8" t="s">
        <v>455</v>
      </c>
      <c r="D495" s="5">
        <v>3</v>
      </c>
      <c r="E495" s="5" t="s">
        <v>107</v>
      </c>
    </row>
    <row r="496" spans="1:5" ht="15" x14ac:dyDescent="0.35">
      <c r="A496" s="32" t="s">
        <v>250</v>
      </c>
      <c r="B496" s="19" t="s">
        <v>328</v>
      </c>
      <c r="C496" s="14" t="s">
        <v>329</v>
      </c>
      <c r="D496" s="19">
        <v>3</v>
      </c>
      <c r="E496" s="19" t="s">
        <v>2</v>
      </c>
    </row>
    <row r="497" spans="1:6" ht="15" x14ac:dyDescent="0.35">
      <c r="A497" s="30" t="s">
        <v>252</v>
      </c>
      <c r="B497" s="5" t="s">
        <v>607</v>
      </c>
      <c r="C497" s="8" t="s">
        <v>458</v>
      </c>
      <c r="D497" s="5">
        <v>3</v>
      </c>
      <c r="E497" s="5" t="s">
        <v>195</v>
      </c>
    </row>
    <row r="498" spans="1:6" ht="15" x14ac:dyDescent="0.35">
      <c r="A498" s="30" t="s">
        <v>252</v>
      </c>
      <c r="B498" s="5" t="s">
        <v>608</v>
      </c>
      <c r="C498" s="8" t="s">
        <v>504</v>
      </c>
      <c r="D498" s="5">
        <v>2</v>
      </c>
      <c r="E498" s="5" t="s">
        <v>100</v>
      </c>
      <c r="F498" t="s">
        <v>914</v>
      </c>
    </row>
    <row r="499" spans="1:6" ht="15" x14ac:dyDescent="0.35">
      <c r="A499" s="28" t="s">
        <v>658</v>
      </c>
      <c r="B499" s="11" t="s">
        <v>609</v>
      </c>
      <c r="C499" s="8" t="s">
        <v>610</v>
      </c>
      <c r="D499" s="5">
        <v>2</v>
      </c>
      <c r="E499" s="5" t="s">
        <v>666</v>
      </c>
    </row>
    <row r="500" spans="1:6" ht="15" x14ac:dyDescent="0.35">
      <c r="A500" s="28" t="s">
        <v>250</v>
      </c>
      <c r="B500" s="5" t="s">
        <v>611</v>
      </c>
      <c r="C500" s="8" t="s">
        <v>612</v>
      </c>
      <c r="D500" s="5">
        <v>2</v>
      </c>
      <c r="E500" s="5" t="s">
        <v>195</v>
      </c>
    </row>
    <row r="501" spans="1:6" x14ac:dyDescent="0.3">
      <c r="A501" s="28" t="s">
        <v>253</v>
      </c>
      <c r="B501" s="20" t="s">
        <v>613</v>
      </c>
      <c r="C501" s="5" t="s">
        <v>614</v>
      </c>
      <c r="D501" s="5">
        <v>3</v>
      </c>
      <c r="E501" s="5" t="s">
        <v>50</v>
      </c>
    </row>
    <row r="502" spans="1:6" ht="15" x14ac:dyDescent="0.35">
      <c r="A502" s="28" t="s">
        <v>658</v>
      </c>
      <c r="B502" s="5" t="s">
        <v>615</v>
      </c>
      <c r="C502" s="8" t="s">
        <v>409</v>
      </c>
      <c r="D502" s="5">
        <v>2</v>
      </c>
      <c r="E502" s="5" t="s">
        <v>2</v>
      </c>
    </row>
    <row r="503" spans="1:6" ht="15" x14ac:dyDescent="0.35">
      <c r="A503" s="30" t="s">
        <v>251</v>
      </c>
      <c r="B503" s="5" t="s">
        <v>616</v>
      </c>
      <c r="C503" s="8" t="s">
        <v>617</v>
      </c>
      <c r="D503" s="5">
        <v>3</v>
      </c>
      <c r="E503" s="5" t="s">
        <v>2</v>
      </c>
    </row>
    <row r="504" spans="1:6" ht="15" x14ac:dyDescent="0.35">
      <c r="A504" s="30" t="s">
        <v>252</v>
      </c>
      <c r="B504" s="5" t="s">
        <v>618</v>
      </c>
      <c r="C504" s="8" t="s">
        <v>619</v>
      </c>
      <c r="D504" s="5">
        <v>3</v>
      </c>
      <c r="E504" s="5" t="s">
        <v>2</v>
      </c>
    </row>
    <row r="505" spans="1:6" ht="15" x14ac:dyDescent="0.35">
      <c r="A505" s="30" t="s">
        <v>252</v>
      </c>
      <c r="B505" s="5" t="s">
        <v>620</v>
      </c>
      <c r="C505" s="8" t="s">
        <v>621</v>
      </c>
      <c r="D505" s="5">
        <v>2</v>
      </c>
      <c r="E505" s="5" t="s">
        <v>129</v>
      </c>
    </row>
    <row r="506" spans="1:6" ht="15" x14ac:dyDescent="0.35">
      <c r="A506" s="30" t="s">
        <v>251</v>
      </c>
      <c r="B506" s="5" t="s">
        <v>622</v>
      </c>
      <c r="C506" s="8" t="s">
        <v>623</v>
      </c>
      <c r="D506" s="5">
        <v>3</v>
      </c>
      <c r="E506" s="5" t="s">
        <v>2</v>
      </c>
    </row>
    <row r="507" spans="1:6" ht="15" x14ac:dyDescent="0.35">
      <c r="A507" s="28" t="s">
        <v>658</v>
      </c>
      <c r="B507" s="5" t="s">
        <v>624</v>
      </c>
      <c r="C507" s="8" t="s">
        <v>625</v>
      </c>
      <c r="D507" s="5">
        <v>3</v>
      </c>
      <c r="E507" s="5" t="s">
        <v>2</v>
      </c>
    </row>
    <row r="508" spans="1:6" ht="15" x14ac:dyDescent="0.35">
      <c r="A508" s="28" t="s">
        <v>250</v>
      </c>
      <c r="B508" s="5" t="s">
        <v>626</v>
      </c>
      <c r="C508" s="8" t="s">
        <v>627</v>
      </c>
      <c r="D508" s="5">
        <v>3</v>
      </c>
      <c r="E508" s="5" t="s">
        <v>142</v>
      </c>
    </row>
    <row r="509" spans="1:6" ht="15" x14ac:dyDescent="0.35">
      <c r="A509" s="28" t="s">
        <v>253</v>
      </c>
      <c r="B509" s="5" t="s">
        <v>628</v>
      </c>
      <c r="C509" s="8" t="s">
        <v>629</v>
      </c>
      <c r="D509" s="5">
        <v>3</v>
      </c>
      <c r="E509" s="5" t="s">
        <v>195</v>
      </c>
    </row>
    <row r="510" spans="1:6" ht="15" x14ac:dyDescent="0.35">
      <c r="A510" s="30" t="s">
        <v>251</v>
      </c>
      <c r="B510" s="5" t="s">
        <v>630</v>
      </c>
      <c r="C510" s="8" t="s">
        <v>631</v>
      </c>
      <c r="D510" s="5">
        <v>3</v>
      </c>
      <c r="E510" s="5" t="s">
        <v>142</v>
      </c>
    </row>
    <row r="511" spans="1:6" ht="15" x14ac:dyDescent="0.35">
      <c r="A511" s="30" t="s">
        <v>251</v>
      </c>
      <c r="B511" s="5" t="s">
        <v>632</v>
      </c>
      <c r="C511" s="8" t="s">
        <v>633</v>
      </c>
      <c r="D511" s="5">
        <v>3</v>
      </c>
      <c r="E511" s="5" t="s">
        <v>195</v>
      </c>
    </row>
    <row r="512" spans="1:6" ht="15" x14ac:dyDescent="0.35">
      <c r="A512" s="30" t="s">
        <v>251</v>
      </c>
      <c r="B512" s="5" t="s">
        <v>634</v>
      </c>
      <c r="C512" s="8" t="s">
        <v>635</v>
      </c>
      <c r="D512" s="5">
        <v>3</v>
      </c>
      <c r="E512" s="5" t="s">
        <v>142</v>
      </c>
    </row>
    <row r="513" spans="1:5" ht="15" x14ac:dyDescent="0.35">
      <c r="A513" s="28" t="s">
        <v>250</v>
      </c>
      <c r="B513" s="5" t="s">
        <v>636</v>
      </c>
      <c r="C513" s="8" t="s">
        <v>637</v>
      </c>
      <c r="D513" s="5">
        <v>3</v>
      </c>
      <c r="E513" s="5" t="s">
        <v>50</v>
      </c>
    </row>
    <row r="514" spans="1:5" ht="15" x14ac:dyDescent="0.35">
      <c r="A514" s="28" t="s">
        <v>253</v>
      </c>
      <c r="B514" s="5" t="s">
        <v>638</v>
      </c>
      <c r="C514" s="8" t="s">
        <v>639</v>
      </c>
      <c r="D514" s="5">
        <v>3</v>
      </c>
      <c r="E514" s="5" t="s">
        <v>195</v>
      </c>
    </row>
    <row r="515" spans="1:5" ht="15" x14ac:dyDescent="0.35">
      <c r="A515" s="28" t="s">
        <v>250</v>
      </c>
      <c r="B515" s="5" t="s">
        <v>640</v>
      </c>
      <c r="C515" s="8" t="s">
        <v>641</v>
      </c>
      <c r="D515" s="5">
        <v>2</v>
      </c>
      <c r="E515" s="5" t="s">
        <v>50</v>
      </c>
    </row>
    <row r="516" spans="1:5" ht="15" x14ac:dyDescent="0.35">
      <c r="A516" s="30" t="s">
        <v>251</v>
      </c>
      <c r="B516" s="21" t="s">
        <v>642</v>
      </c>
      <c r="C516" s="8" t="s">
        <v>353</v>
      </c>
      <c r="D516" s="5">
        <v>2</v>
      </c>
      <c r="E516" s="5" t="s">
        <v>50</v>
      </c>
    </row>
  </sheetData>
  <autoFilter ref="A1:G516" xr:uid="{00000000-0009-0000-0000-000006000000}"/>
  <conditionalFormatting sqref="B2:B4 B6:B8">
    <cfRule type="duplicateValues" dxfId="15" priority="15"/>
    <cfRule type="duplicateValues" dxfId="14" priority="16"/>
  </conditionalFormatting>
  <conditionalFormatting sqref="B9:B10 B12 B15">
    <cfRule type="duplicateValues" dxfId="13" priority="13"/>
    <cfRule type="duplicateValues" dxfId="12" priority="14"/>
  </conditionalFormatting>
  <conditionalFormatting sqref="B16:B22">
    <cfRule type="duplicateValues" dxfId="11" priority="11"/>
    <cfRule type="duplicateValues" dxfId="10" priority="12"/>
  </conditionalFormatting>
  <conditionalFormatting sqref="B24:B29">
    <cfRule type="duplicateValues" dxfId="9" priority="9"/>
    <cfRule type="duplicateValues" dxfId="8" priority="10"/>
  </conditionalFormatting>
  <conditionalFormatting sqref="B47:B49 B51:B53">
    <cfRule type="duplicateValues" dxfId="7" priority="7"/>
    <cfRule type="duplicateValues" dxfId="6" priority="8"/>
  </conditionalFormatting>
  <conditionalFormatting sqref="B54:B55 B57 B60">
    <cfRule type="duplicateValues" dxfId="5" priority="5"/>
    <cfRule type="duplicateValues" dxfId="4" priority="6"/>
  </conditionalFormatting>
  <conditionalFormatting sqref="B61:B67">
    <cfRule type="duplicateValues" dxfId="3" priority="3"/>
    <cfRule type="duplicateValues" dxfId="2" priority="4"/>
  </conditionalFormatting>
  <conditionalFormatting sqref="B69:B74">
    <cfRule type="duplicateValues" dxfId="1" priority="1"/>
    <cfRule type="duplicateValues" dxfId="0" priority="2"/>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Dosen</vt:lpstr>
      <vt:lpstr>Kelas</vt:lpstr>
      <vt:lpstr>Ruang</vt:lpstr>
      <vt:lpstr>Lesson</vt:lpstr>
      <vt:lpstr>Subjek (Matakuliah)</vt:lpstr>
      <vt:lpstr>ALL</vt:lpstr>
      <vt:lpstr> Contoh lesson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UISI</dc:creator>
  <cp:lastModifiedBy>Ayu Ningsih</cp:lastModifiedBy>
  <dcterms:created xsi:type="dcterms:W3CDTF">2018-07-27T09:12:25Z</dcterms:created>
  <dcterms:modified xsi:type="dcterms:W3CDTF">2025-11-03T07:12:02Z</dcterms:modified>
</cp:coreProperties>
</file>